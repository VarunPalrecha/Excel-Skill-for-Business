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MBA Internships\Excel Skill for Business\"/>
    </mc:Choice>
  </mc:AlternateContent>
  <xr:revisionPtr revIDLastSave="0" documentId="13_ncr:1_{74A45147-6118-4B8C-845F-59F811AA7C84}" xr6:coauthVersionLast="47" xr6:coauthVersionMax="47" xr10:uidLastSave="{00000000-0000-0000-0000-000000000000}"/>
  <bookViews>
    <workbookView xWindow="-108" yWindow="-108" windowWidth="23256" windowHeight="12576" activeTab="3" xr2:uid="{C48B9CDC-7A08-4564-B42C-29D710346C39}"/>
  </bookViews>
  <sheets>
    <sheet name="Forecast Assumptions" sheetId="2" r:id="rId1"/>
    <sheet name="P&amp;L Forecast" sheetId="3" r:id="rId2"/>
    <sheet name="Cash Flow Forecast" sheetId="4" r:id="rId3"/>
    <sheet name="Outputs" sheetId="5" r:id="rId4"/>
  </sheets>
  <externalReferences>
    <externalReference r:id="rId5"/>
    <externalReference r:id="rId6"/>
  </externalReferences>
  <definedNames>
    <definedName name="_xlnm.Print_Area" localSheetId="2">'Cash Flow Forecast'!$A$1:$J$26</definedName>
    <definedName name="_xlnm.Print_Area" localSheetId="0">'Forecast Assumptions'!$A$1:$J$48</definedName>
    <definedName name="_xlnm.Print_Area" localSheetId="3">Outputs!$A$1:$I$142</definedName>
    <definedName name="_xlnm.Print_Area" localSheetId="1">'P&amp;L Forecast'!$A$1:$J$40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4" l="1"/>
  <c r="F3" i="4" s="1"/>
  <c r="G3" i="4" s="1"/>
  <c r="H3" i="4" s="1"/>
  <c r="I3" i="4" s="1"/>
  <c r="E7" i="4"/>
  <c r="F7" i="4"/>
  <c r="G7" i="4"/>
  <c r="H7" i="4"/>
  <c r="I7" i="4"/>
  <c r="E8" i="4"/>
  <c r="F8" i="4"/>
  <c r="G8" i="4"/>
  <c r="H8" i="4"/>
  <c r="I8" i="4"/>
  <c r="E15" i="4"/>
  <c r="E17" i="4" s="1"/>
  <c r="F15" i="4" s="1"/>
  <c r="F17" i="4" s="1"/>
  <c r="G15" i="4" s="1"/>
  <c r="G17" i="4" s="1"/>
  <c r="H15" i="4" s="1"/>
  <c r="H17" i="4" s="1"/>
  <c r="I15" i="4" s="1"/>
  <c r="I17" i="4" s="1"/>
  <c r="E21" i="4"/>
  <c r="E10" i="4" s="1"/>
  <c r="E28" i="3" s="1"/>
  <c r="I36" i="3"/>
  <c r="H36" i="3"/>
  <c r="G36" i="3"/>
  <c r="F36" i="3"/>
  <c r="E36" i="3"/>
  <c r="I20" i="3"/>
  <c r="H20" i="3"/>
  <c r="G20" i="3"/>
  <c r="F20" i="3"/>
  <c r="E20" i="3"/>
  <c r="I19" i="3"/>
  <c r="H19" i="3"/>
  <c r="G19" i="3"/>
  <c r="F19" i="3"/>
  <c r="E19" i="3"/>
  <c r="I18" i="3"/>
  <c r="H18" i="3"/>
  <c r="G18" i="3"/>
  <c r="F18" i="3"/>
  <c r="E18" i="3"/>
  <c r="I17" i="3"/>
  <c r="H17" i="3"/>
  <c r="G17" i="3"/>
  <c r="F17" i="3"/>
  <c r="E17" i="3"/>
  <c r="I13" i="3"/>
  <c r="H13" i="3"/>
  <c r="G13" i="3"/>
  <c r="F13" i="3"/>
  <c r="E13" i="3"/>
  <c r="I12" i="3"/>
  <c r="H12" i="3"/>
  <c r="G12" i="3"/>
  <c r="F12" i="3"/>
  <c r="E12" i="3"/>
  <c r="I11" i="3"/>
  <c r="H11" i="3"/>
  <c r="G11" i="3"/>
  <c r="F11" i="3"/>
  <c r="E11" i="3"/>
  <c r="I7" i="3"/>
  <c r="H7" i="3"/>
  <c r="G7" i="3"/>
  <c r="F7" i="3"/>
  <c r="E7" i="3"/>
  <c r="I6" i="3"/>
  <c r="H6" i="3"/>
  <c r="G6" i="3"/>
  <c r="F6" i="3"/>
  <c r="E6" i="3"/>
  <c r="I5" i="3"/>
  <c r="I8" i="3" s="1"/>
  <c r="H5" i="3"/>
  <c r="H8" i="3" s="1"/>
  <c r="G5" i="3"/>
  <c r="G8" i="3" s="1"/>
  <c r="F5" i="3"/>
  <c r="F8" i="3" s="1"/>
  <c r="E5" i="3"/>
  <c r="E8" i="3" s="1"/>
  <c r="E3" i="3"/>
  <c r="F3" i="3" s="1"/>
  <c r="G3" i="3" s="1"/>
  <c r="H3" i="3" s="1"/>
  <c r="I3" i="3" s="1"/>
  <c r="E3" i="2"/>
  <c r="F3" i="2" s="1"/>
  <c r="G3" i="2" s="1"/>
  <c r="H3" i="2" s="1"/>
  <c r="I3" i="2" s="1"/>
  <c r="F8" i="2"/>
  <c r="G8" i="2" s="1"/>
  <c r="H8" i="2" s="1"/>
  <c r="I8" i="2" s="1"/>
  <c r="F9" i="2"/>
  <c r="G9" i="2" s="1"/>
  <c r="H9" i="2" s="1"/>
  <c r="I9" i="2" s="1"/>
  <c r="F12" i="2"/>
  <c r="G12" i="2"/>
  <c r="H12" i="2"/>
  <c r="I12" i="2"/>
  <c r="F13" i="2"/>
  <c r="G13" i="2" s="1"/>
  <c r="H13" i="2" s="1"/>
  <c r="I13" i="2" s="1"/>
  <c r="F16" i="2"/>
  <c r="G16" i="2"/>
  <c r="H16" i="2"/>
  <c r="I16" i="2"/>
  <c r="F17" i="2"/>
  <c r="G17" i="2" s="1"/>
  <c r="H17" i="2" s="1"/>
  <c r="I17" i="2" s="1"/>
  <c r="F22" i="2"/>
  <c r="G22" i="2"/>
  <c r="H22" i="2"/>
  <c r="I22" i="2"/>
  <c r="F23" i="2"/>
  <c r="G23" i="2" s="1"/>
  <c r="H23" i="2" s="1"/>
  <c r="I23" i="2" s="1"/>
  <c r="F24" i="2"/>
  <c r="G24" i="2"/>
  <c r="H24" i="2"/>
  <c r="I24" i="2"/>
  <c r="F27" i="2"/>
  <c r="G27" i="2" s="1"/>
  <c r="H27" i="2" s="1"/>
  <c r="I27" i="2" s="1"/>
  <c r="F28" i="2"/>
  <c r="G28" i="2"/>
  <c r="H28" i="2"/>
  <c r="I28" i="2"/>
  <c r="F29" i="2"/>
  <c r="G29" i="2"/>
  <c r="H29" i="2"/>
  <c r="I29" i="2" s="1"/>
  <c r="F30" i="2"/>
  <c r="G30" i="2"/>
  <c r="H30" i="2"/>
  <c r="I30" i="2"/>
  <c r="F33" i="2"/>
  <c r="G33" i="2" s="1"/>
  <c r="E37" i="2"/>
  <c r="I24" i="3" l="1"/>
  <c r="I14" i="3"/>
  <c r="I9" i="3"/>
  <c r="F9" i="3"/>
  <c r="F24" i="3"/>
  <c r="F14" i="3"/>
  <c r="E24" i="3"/>
  <c r="E14" i="3"/>
  <c r="G9" i="3"/>
  <c r="G24" i="3"/>
  <c r="G14" i="3"/>
  <c r="H24" i="3"/>
  <c r="H14" i="3"/>
  <c r="H9" i="3"/>
  <c r="H33" i="2"/>
  <c r="G37" i="2"/>
  <c r="F37" i="2"/>
  <c r="E21" i="3" l="1"/>
  <c r="E15" i="3"/>
  <c r="H21" i="3"/>
  <c r="H15" i="3"/>
  <c r="F15" i="3"/>
  <c r="F21" i="3"/>
  <c r="I21" i="3"/>
  <c r="I15" i="3"/>
  <c r="G15" i="3"/>
  <c r="G21" i="3"/>
  <c r="H37" i="2"/>
  <c r="I33" i="2"/>
  <c r="I37" i="2" s="1"/>
  <c r="I22" i="3" l="1"/>
  <c r="I25" i="3"/>
  <c r="G22" i="3"/>
  <c r="G25" i="3"/>
  <c r="F25" i="3"/>
  <c r="F22" i="3"/>
  <c r="H22" i="3"/>
  <c r="H25" i="3"/>
  <c r="E25" i="3"/>
  <c r="E22" i="3"/>
  <c r="H26" i="3" l="1"/>
  <c r="I26" i="3"/>
  <c r="F26" i="3"/>
  <c r="G26" i="3"/>
  <c r="E29" i="3"/>
  <c r="E26" i="3"/>
  <c r="E32" i="3" l="1"/>
  <c r="E33" i="3" s="1"/>
  <c r="E30" i="3"/>
  <c r="E37" i="3" l="1"/>
  <c r="E34" i="3"/>
  <c r="E6" i="4" l="1"/>
  <c r="E9" i="4" l="1"/>
  <c r="E11" i="4" s="1"/>
  <c r="E12" i="4" l="1"/>
  <c r="E22" i="4" s="1"/>
  <c r="E23" i="4" s="1"/>
  <c r="F21" i="4" s="1"/>
  <c r="F10" i="4" l="1"/>
  <c r="E13" i="4"/>
  <c r="F28" i="3" l="1"/>
  <c r="F29" i="3" s="1"/>
  <c r="F6" i="4" l="1"/>
  <c r="F32" i="3"/>
  <c r="F33" i="3" s="1"/>
  <c r="F30" i="3"/>
  <c r="F37" i="3" l="1"/>
  <c r="F34" i="3"/>
  <c r="F9" i="4" l="1"/>
  <c r="F11" i="4" s="1"/>
  <c r="F12" i="4" l="1"/>
  <c r="F22" i="4" s="1"/>
  <c r="F23" i="4" s="1"/>
  <c r="G21" i="4" s="1"/>
  <c r="G10" i="4" l="1"/>
  <c r="F13" i="4"/>
  <c r="G28" i="3" l="1"/>
  <c r="G29" i="3" s="1"/>
  <c r="G6" i="4" l="1"/>
  <c r="G30" i="3"/>
  <c r="G32" i="3"/>
  <c r="G33" i="3" s="1"/>
  <c r="G37" i="3" l="1"/>
  <c r="G34" i="3"/>
  <c r="G9" i="4" l="1"/>
  <c r="G11" i="4" s="1"/>
  <c r="G12" i="4" l="1"/>
  <c r="G22" i="4" s="1"/>
  <c r="G23" i="4" s="1"/>
  <c r="H21" i="4" s="1"/>
  <c r="H10" i="4" l="1"/>
  <c r="G13" i="4"/>
  <c r="H28" i="3" l="1"/>
  <c r="H29" i="3" s="1"/>
  <c r="H6" i="4" l="1"/>
  <c r="H32" i="3"/>
  <c r="H33" i="3" s="1"/>
  <c r="H30" i="3"/>
  <c r="H9" i="4" l="1"/>
  <c r="H11" i="4" s="1"/>
  <c r="H37" i="3"/>
  <c r="H34" i="3"/>
  <c r="H12" i="4" l="1"/>
  <c r="H22" i="4" s="1"/>
  <c r="H23" i="4" s="1"/>
  <c r="I21" i="4" s="1"/>
  <c r="I10" i="4" l="1"/>
  <c r="H13" i="4"/>
  <c r="I28" i="3" l="1"/>
  <c r="I29" i="3" s="1"/>
  <c r="I6" i="4" l="1"/>
  <c r="I30" i="3"/>
  <c r="I32" i="3"/>
  <c r="I33" i="3" s="1"/>
  <c r="I34" i="3" l="1"/>
  <c r="I37" i="3"/>
  <c r="I9" i="4" l="1"/>
  <c r="I11" i="4" s="1"/>
  <c r="I12" i="4" l="1"/>
  <c r="I22" i="4" s="1"/>
  <c r="I23" i="4" s="1"/>
  <c r="I13" i="4"/>
</calcChain>
</file>

<file path=xl/sharedStrings.xml><?xml version="1.0" encoding="utf-8"?>
<sst xmlns="http://schemas.openxmlformats.org/spreadsheetml/2006/main" count="161" uniqueCount="72">
  <si>
    <t>END</t>
  </si>
  <si>
    <t>*</t>
  </si>
  <si>
    <t>%</t>
  </si>
  <si>
    <t>Cash Interest Rate</t>
  </si>
  <si>
    <t>Debt Interest Rate</t>
  </si>
  <si>
    <t>Tax Rate</t>
  </si>
  <si>
    <t>Other</t>
  </si>
  <si>
    <t>Dividend Payout Ratio</t>
  </si>
  <si>
    <t>% of revenue</t>
  </si>
  <si>
    <t>Change in Net Working Capital (NWC)</t>
  </si>
  <si>
    <t>Net Capital Expenditure (Capex)</t>
  </si>
  <si>
    <t>Cash Flow</t>
  </si>
  <si>
    <t>Annual D&amp;A</t>
  </si>
  <si>
    <t>Depreciation &amp; Amortization (D&amp;A)</t>
  </si>
  <si>
    <t>$</t>
  </si>
  <si>
    <t>Other Costs</t>
  </si>
  <si>
    <t>Marketing Costs</t>
  </si>
  <si>
    <t>Occupancy Costs</t>
  </si>
  <si>
    <t>Staff Costs</t>
  </si>
  <si>
    <t>Operating Expenses (OpEx)</t>
  </si>
  <si>
    <t>COGS per Drink</t>
  </si>
  <si>
    <t>COGS per Ice Cream</t>
  </si>
  <si>
    <t>COGS per Cupcake</t>
  </si>
  <si>
    <t>Cost of Goods Sold (COGS)</t>
  </si>
  <si>
    <t>Costs</t>
  </si>
  <si>
    <t>Average Sale Price</t>
  </si>
  <si>
    <t>#</t>
  </si>
  <si>
    <t>Number of Units Sold</t>
  </si>
  <si>
    <t>Drinks</t>
  </si>
  <si>
    <t>Ice Cream</t>
  </si>
  <si>
    <t>Cupcakes</t>
  </si>
  <si>
    <t>Revenue</t>
  </si>
  <si>
    <t>Unit</t>
  </si>
  <si>
    <t>Dec-YE</t>
  </si>
  <si>
    <t>Forecast Assumptions</t>
  </si>
  <si>
    <t>P&amp;L Forecast</t>
  </si>
  <si>
    <t>Cupcakes Revenue</t>
  </si>
  <si>
    <t>Ice Cream Revenue</t>
  </si>
  <si>
    <t>Drinks Revenue</t>
  </si>
  <si>
    <t>Total Revenue</t>
  </si>
  <si>
    <t>Growth</t>
  </si>
  <si>
    <t>Cupcakes COGS</t>
  </si>
  <si>
    <t>Ice Cream COGS</t>
  </si>
  <si>
    <t>Drinks COGS</t>
  </si>
  <si>
    <t>Gross Profit</t>
  </si>
  <si>
    <t>Margin</t>
  </si>
  <si>
    <t>EBITDA</t>
  </si>
  <si>
    <t>D&amp;A</t>
  </si>
  <si>
    <t>EBIT (Operating Income)</t>
  </si>
  <si>
    <t>Net Interest</t>
  </si>
  <si>
    <t>Profit Before Tax (PBT)</t>
  </si>
  <si>
    <t>Tax Expense</t>
  </si>
  <si>
    <t>Net Profit After Tax (NPAT)</t>
  </si>
  <si>
    <t>Gross Dividends</t>
  </si>
  <si>
    <t>Closing Debt</t>
  </si>
  <si>
    <t>Debt Repayment</t>
  </si>
  <si>
    <t>Opening Debt</t>
  </si>
  <si>
    <t>Supporting Debt Schedule</t>
  </si>
  <si>
    <t>Closing Cash</t>
  </si>
  <si>
    <t>Cash to Balance Sheet</t>
  </si>
  <si>
    <t>Opening Cash</t>
  </si>
  <si>
    <t>Net Cash Flow</t>
  </si>
  <si>
    <t>Dividends</t>
  </si>
  <si>
    <t>Net Capex</t>
  </si>
  <si>
    <t>Changes in NWC</t>
  </si>
  <si>
    <t>Cash Flow Forecast</t>
  </si>
  <si>
    <t>Outputs</t>
  </si>
  <si>
    <t>Example Chart (Cupcake Volume - 2020-24)</t>
  </si>
  <si>
    <t>Forecast Revenue (2020-24) - Column Chart</t>
  </si>
  <si>
    <t>Forecast Debt (2020-24) - Line Chart</t>
  </si>
  <si>
    <t>Forecast Cash (2020-24) - Area Chart</t>
  </si>
  <si>
    <t>Cupcakes Operating Metrics (2020-24) - Combination Column &amp; Line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</si>
</sst>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
    <numFmt numFmtId="166" formatCode="#,##0.00;\(#,##0.00\);\-"/>
    <numFmt numFmtId="167" formatCode="&quot;FY&quot;yy&quot;E&quot;"/>
    <numFmt numFmtId="168" formatCode="&quot;FY&quot;yy&quot;A&quot;"/>
    <numFmt numFmtId="169" formatCode="0%;\(0%\);\-"/>
  </numFmts>
  <fonts count="10" x14ac:knownFonts="1">
    <font>
      <sz val="11"/>
      <color theme="1"/>
      <name val="Calibri"/>
      <family val="2"/>
      <scheme val="minor"/>
    </font>
    <font>
      <sz val="10"/>
      <color theme="1"/>
      <name val="Arial"/>
      <family val="2"/>
    </font>
    <font>
      <b/>
      <sz val="10"/>
      <color theme="0"/>
      <name val="Arial"/>
      <family val="2"/>
    </font>
    <font>
      <sz val="10"/>
      <color rgb="FF0000FF"/>
      <name val="Arial"/>
      <family val="2"/>
    </font>
    <font>
      <b/>
      <sz val="10"/>
      <color theme="1"/>
      <name val="Arial"/>
      <family val="2"/>
    </font>
    <font>
      <b/>
      <u/>
      <sz val="10"/>
      <color theme="1"/>
      <name val="Arial"/>
      <family val="2"/>
    </font>
    <font>
      <sz val="12"/>
      <color theme="1"/>
      <name val="Arial"/>
      <family val="2"/>
    </font>
    <font>
      <b/>
      <sz val="14"/>
      <color theme="0"/>
      <name val="Arial"/>
      <family val="2"/>
    </font>
    <font>
      <i/>
      <sz val="10"/>
      <color theme="1"/>
      <name val="Arial"/>
      <family val="2"/>
    </font>
    <font>
      <b/>
      <sz val="10"/>
      <name val="Arial"/>
      <family val="2"/>
    </font>
  </fonts>
  <fills count="6">
    <fill>
      <patternFill patternType="none"/>
    </fill>
    <fill>
      <patternFill patternType="gray125"/>
    </fill>
    <fill>
      <patternFill patternType="solid">
        <fgColor theme="1"/>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rgb="FFBDD7EE"/>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0" borderId="0" xfId="0" applyFont="1"/>
    <xf numFmtId="0" fontId="1" fillId="2" borderId="0" xfId="0" applyFont="1" applyFill="1"/>
    <xf numFmtId="0" fontId="2" fillId="2" borderId="0" xfId="0" applyFont="1" applyFill="1"/>
    <xf numFmtId="0" fontId="1" fillId="0" borderId="0" xfId="0" applyFont="1" applyAlignment="1">
      <alignment horizontal="right"/>
    </xf>
    <xf numFmtId="164" fontId="3" fillId="3" borderId="1" xfId="0" applyNumberFormat="1" applyFont="1" applyFill="1" applyBorder="1" applyAlignment="1">
      <alignment horizontal="right"/>
    </xf>
    <xf numFmtId="0" fontId="4" fillId="0" borderId="0" xfId="0" applyFont="1" applyAlignment="1">
      <alignment horizontal="right"/>
    </xf>
    <xf numFmtId="0" fontId="1" fillId="0" borderId="0" xfId="0" applyFont="1" applyAlignment="1">
      <alignment horizontal="center"/>
    </xf>
    <xf numFmtId="0" fontId="1" fillId="4" borderId="0" xfId="0" applyFont="1" applyFill="1"/>
    <xf numFmtId="0" fontId="1" fillId="4" borderId="0" xfId="0" applyFont="1" applyFill="1" applyAlignment="1">
      <alignment horizontal="right"/>
    </xf>
    <xf numFmtId="0" fontId="2" fillId="4" borderId="0" xfId="0" applyFont="1" applyFill="1"/>
    <xf numFmtId="164" fontId="3" fillId="5" borderId="1" xfId="0" applyNumberFormat="1" applyFont="1" applyFill="1" applyBorder="1" applyAlignment="1">
      <alignment horizontal="right"/>
    </xf>
    <xf numFmtId="0" fontId="5" fillId="0" borderId="0" xfId="0" applyFont="1"/>
    <xf numFmtId="165" fontId="3" fillId="3" borderId="1" xfId="0" applyNumberFormat="1" applyFont="1" applyFill="1" applyBorder="1" applyAlignment="1">
      <alignment horizontal="right"/>
    </xf>
    <xf numFmtId="166" fontId="3" fillId="3" borderId="1" xfId="0" applyNumberFormat="1" applyFont="1" applyFill="1" applyBorder="1" applyAlignment="1">
      <alignment horizontal="right"/>
    </xf>
    <xf numFmtId="167" fontId="4" fillId="0" borderId="2" xfId="0" applyNumberFormat="1" applyFont="1" applyBorder="1" applyAlignment="1">
      <alignment horizontal="right"/>
    </xf>
    <xf numFmtId="168" fontId="4" fillId="0" borderId="2" xfId="0" applyNumberFormat="1" applyFont="1" applyBorder="1" applyAlignment="1">
      <alignment horizontal="right"/>
    </xf>
    <xf numFmtId="0" fontId="4" fillId="0" borderId="2" xfId="0" applyFont="1" applyBorder="1" applyAlignment="1">
      <alignment horizontal="center"/>
    </xf>
    <xf numFmtId="0" fontId="4" fillId="0" borderId="2" xfId="0" applyFont="1" applyBorder="1"/>
    <xf numFmtId="0" fontId="6" fillId="2" borderId="0" xfId="0" applyFont="1" applyFill="1"/>
    <xf numFmtId="0" fontId="7" fillId="2" borderId="0" xfId="0" applyFont="1" applyFill="1"/>
    <xf numFmtId="0" fontId="1" fillId="3" borderId="0" xfId="0" applyFont="1" applyFill="1"/>
    <xf numFmtId="0" fontId="1" fillId="3" borderId="0" xfId="0" applyFont="1" applyFill="1" applyAlignment="1">
      <alignment horizontal="center"/>
    </xf>
    <xf numFmtId="165" fontId="1" fillId="3" borderId="0" xfId="0" applyNumberFormat="1" applyFont="1" applyFill="1" applyAlignment="1">
      <alignment horizontal="right"/>
    </xf>
    <xf numFmtId="0" fontId="4" fillId="0" borderId="3" xfId="0" applyFont="1" applyBorder="1"/>
    <xf numFmtId="0" fontId="4" fillId="0" borderId="3" xfId="0" applyFont="1" applyBorder="1" applyAlignment="1">
      <alignment horizontal="center"/>
    </xf>
    <xf numFmtId="165" fontId="4" fillId="0" borderId="3" xfId="0" applyNumberFormat="1" applyFont="1" applyBorder="1" applyAlignment="1">
      <alignment horizontal="right"/>
    </xf>
    <xf numFmtId="165" fontId="4" fillId="5" borderId="3" xfId="0" applyNumberFormat="1" applyFont="1" applyFill="1" applyBorder="1" applyAlignment="1">
      <alignment horizontal="right"/>
    </xf>
    <xf numFmtId="165" fontId="4" fillId="3" borderId="3" xfId="0" applyNumberFormat="1" applyFont="1" applyFill="1" applyBorder="1" applyAlignment="1">
      <alignment horizontal="right"/>
    </xf>
    <xf numFmtId="0" fontId="8" fillId="0" borderId="0" xfId="0" applyFont="1" applyAlignment="1">
      <alignment horizontal="left" indent="1"/>
    </xf>
    <xf numFmtId="169" fontId="8" fillId="0" borderId="0" xfId="0" applyNumberFormat="1" applyFont="1" applyAlignment="1">
      <alignment horizontal="right"/>
    </xf>
    <xf numFmtId="169" fontId="8" fillId="3" borderId="0" xfId="0" applyNumberFormat="1" applyFont="1" applyFill="1" applyAlignment="1">
      <alignment horizontal="right"/>
    </xf>
    <xf numFmtId="169" fontId="1" fillId="3" borderId="0" xfId="0" applyNumberFormat="1" applyFont="1" applyFill="1" applyAlignment="1">
      <alignment horizontal="right"/>
    </xf>
    <xf numFmtId="165" fontId="4" fillId="3" borderId="3" xfId="0" applyNumberFormat="1" applyFont="1" applyFill="1" applyBorder="1"/>
    <xf numFmtId="165" fontId="9" fillId="0" borderId="3" xfId="0" applyNumberFormat="1" applyFont="1" applyBorder="1"/>
    <xf numFmtId="165" fontId="1" fillId="3" borderId="0" xfId="0" applyNumberFormat="1" applyFont="1" applyFill="1"/>
    <xf numFmtId="165" fontId="4" fillId="0" borderId="3" xfId="0" applyNumberFormat="1" applyFont="1" applyBorder="1"/>
    <xf numFmtId="0" fontId="4" fillId="0" borderId="0" xfId="0" applyFont="1"/>
    <xf numFmtId="165" fontId="1" fillId="5" borderId="0" xfId="0" applyNumberFormat="1" applyFont="1" applyFill="1" applyAlignment="1">
      <alignment horizontal="right"/>
    </xf>
    <xf numFmtId="0" fontId="4" fillId="0" borderId="4" xfId="0" applyFont="1" applyBorder="1"/>
    <xf numFmtId="0" fontId="1" fillId="0" borderId="3"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2" xfId="0" applyFont="1" applyBorder="1"/>
    <xf numFmtId="0" fontId="1" fillId="0" borderId="9"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'[2]Forecast Assumptions'!$B$8</c:f>
              <c:strCache>
                <c:ptCount val="1"/>
                <c:pt idx="0">
                  <c:v>Number of Units Sold</c:v>
                </c:pt>
              </c:strCache>
            </c:strRef>
          </c:tx>
          <c:spPr>
            <a:solidFill>
              <a:srgbClr val="002D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D7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'[2]Forecast Assumptions'!$E$3:$I$3</c:f>
              <c:numCache>
                <c:formatCode>"FY"yy"E"</c:formatCode>
                <c:ptCount val="5"/>
                <c:pt idx="0">
                  <c:v>44196</c:v>
                </c:pt>
                <c:pt idx="1">
                  <c:v>44561</c:v>
                </c:pt>
                <c:pt idx="2">
                  <c:v>44926</c:v>
                </c:pt>
                <c:pt idx="3">
                  <c:v>45291</c:v>
                </c:pt>
                <c:pt idx="4">
                  <c:v>45657</c:v>
                </c:pt>
              </c:numCache>
            </c:numRef>
          </c:cat>
          <c:val>
            <c:numRef>
              <c:f>'[2]Forecast Assumptions'!$E$8:$I$8</c:f>
              <c:numCache>
                <c:formatCode>#,##0;\(#,##0\);\-</c:formatCode>
                <c:ptCount val="5"/>
                <c:pt idx="0">
                  <c:v>100000</c:v>
                </c:pt>
                <c:pt idx="1">
                  <c:v>110000.00000000001</c:v>
                </c:pt>
                <c:pt idx="2">
                  <c:v>119900.00000000003</c:v>
                </c:pt>
                <c:pt idx="3">
                  <c:v>129492.00000000004</c:v>
                </c:pt>
                <c:pt idx="4">
                  <c:v>138556.44000000006</c:v>
                </c:pt>
              </c:numCache>
            </c:numRef>
          </c:val>
          <c:extLst>
            <c:ext xmlns:c16="http://schemas.microsoft.com/office/drawing/2014/chart" uri="{C3380CC4-5D6E-409C-BE32-E72D297353CC}">
              <c16:uniqueId val="{00000000-B9BF-4ECF-BDBB-D2FC9882A8B0}"/>
            </c:ext>
          </c:extLst>
        </c:ser>
        <c:dLbls>
          <c:showLegendKey val="0"/>
          <c:showVal val="0"/>
          <c:showCatName val="0"/>
          <c:showSerName val="0"/>
          <c:showPercent val="0"/>
          <c:showBubbleSize val="0"/>
        </c:dLbls>
        <c:gapWidth val="85"/>
        <c:overlap val="-27"/>
        <c:axId val="627386767"/>
        <c:axId val="1142798159"/>
      </c:barChart>
      <c:dateAx>
        <c:axId val="627386767"/>
        <c:scaling>
          <c:orientation val="minMax"/>
        </c:scaling>
        <c:delete val="0"/>
        <c:axPos val="b"/>
        <c:numFmt formatCode="&quot;FY&quot;yy&quot;E&quot;" sourceLinked="1"/>
        <c:majorTickMark val="none"/>
        <c:minorTickMark val="none"/>
        <c:tickLblPos val="nextTo"/>
        <c:spPr>
          <a:noFill/>
          <a:ln w="9525" cap="flat" cmpd="sng" algn="ctr">
            <a:solidFill>
              <a:srgbClr val="53565A"/>
            </a:solidFill>
            <a:round/>
          </a:ln>
          <a:effectLst/>
        </c:spPr>
        <c:txPr>
          <a:bodyPr rot="-60000000" spcFirstLastPara="1" vertOverflow="ellipsis" vert="horz" wrap="square" anchor="ctr" anchorCtr="1"/>
          <a:lstStyle/>
          <a:p>
            <a:pPr>
              <a:defRPr sz="1000" b="0" i="0" u="none" strike="noStrike" kern="1200" baseline="0">
                <a:solidFill>
                  <a:srgbClr val="53565A"/>
                </a:solidFill>
                <a:latin typeface="Arial" panose="020B0604020202020204" pitchFamily="34" charset="0"/>
                <a:ea typeface="+mn-ea"/>
                <a:cs typeface="Arial" panose="020B0604020202020204" pitchFamily="34" charset="0"/>
              </a:defRPr>
            </a:pPr>
            <a:endParaRPr lang="en-US"/>
          </a:p>
        </c:txPr>
        <c:crossAx val="1142798159"/>
        <c:crosses val="autoZero"/>
        <c:auto val="1"/>
        <c:lblOffset val="100"/>
        <c:baseTimeUnit val="years"/>
      </c:dateAx>
      <c:valAx>
        <c:axId val="1142798159"/>
        <c:scaling>
          <c:orientation val="minMax"/>
        </c:scaling>
        <c:delete val="0"/>
        <c:axPos val="l"/>
        <c:numFmt formatCode="#,##0" sourceLinked="0"/>
        <c:majorTickMark val="none"/>
        <c:minorTickMark val="none"/>
        <c:tickLblPos val="nextTo"/>
        <c:spPr>
          <a:noFill/>
          <a:ln>
            <a:solidFill>
              <a:srgbClr val="53565A"/>
            </a:solidFill>
          </a:ln>
          <a:effectLst/>
        </c:spPr>
        <c:txPr>
          <a:bodyPr rot="-60000000" spcFirstLastPara="1" vertOverflow="ellipsis" vert="horz" wrap="square" anchor="ctr" anchorCtr="1"/>
          <a:lstStyle/>
          <a:p>
            <a:pPr>
              <a:defRPr sz="1000" b="0" i="0" u="none" strike="noStrike" kern="1200" baseline="0">
                <a:solidFill>
                  <a:srgbClr val="53565A"/>
                </a:solidFill>
                <a:latin typeface="Arial" panose="020B0604020202020204" pitchFamily="34" charset="0"/>
                <a:ea typeface="+mn-ea"/>
                <a:cs typeface="Arial" panose="020B0604020202020204" pitchFamily="34" charset="0"/>
              </a:defRPr>
            </a:pPr>
            <a:endParaRPr lang="en-US"/>
          </a:p>
        </c:txPr>
        <c:crossAx val="627386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solidFill>
            <a:srgbClr val="53565A"/>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2D72"/>
            </a:solidFill>
            <a:ln>
              <a:noFill/>
            </a:ln>
            <a:effectLst/>
          </c:spPr>
          <c:invertIfNegative val="0"/>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D72"/>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'[2]P&amp;L Forecast'!$E$3:$I$3</c:f>
              <c:numCache>
                <c:formatCode>"FY"yy"E"</c:formatCode>
                <c:ptCount val="5"/>
                <c:pt idx="0">
                  <c:v>44196</c:v>
                </c:pt>
                <c:pt idx="1">
                  <c:v>44561</c:v>
                </c:pt>
                <c:pt idx="2">
                  <c:v>44926</c:v>
                </c:pt>
                <c:pt idx="3">
                  <c:v>45291</c:v>
                </c:pt>
                <c:pt idx="4">
                  <c:v>45657</c:v>
                </c:pt>
              </c:numCache>
            </c:numRef>
          </c:cat>
          <c:val>
            <c:numRef>
              <c:f>'[2]P&amp;L Forecast'!$E$8:$I$8</c:f>
              <c:numCache>
                <c:formatCode>#,##0;\(#,##0\);\-</c:formatCode>
                <c:ptCount val="5"/>
                <c:pt idx="0">
                  <c:v>705000</c:v>
                </c:pt>
                <c:pt idx="1">
                  <c:v>806520</c:v>
                </c:pt>
                <c:pt idx="2">
                  <c:v>914271.07200000016</c:v>
                </c:pt>
                <c:pt idx="3">
                  <c:v>1026909.2680704003</c:v>
                </c:pt>
                <c:pt idx="4">
                  <c:v>1142744.6335087419</c:v>
                </c:pt>
              </c:numCache>
            </c:numRef>
          </c:val>
          <c:extLst>
            <c:ext xmlns:c16="http://schemas.microsoft.com/office/drawing/2014/chart" uri="{C3380CC4-5D6E-409C-BE32-E72D297353CC}">
              <c16:uniqueId val="{00000000-650C-44CD-A94C-044788E03681}"/>
            </c:ext>
          </c:extLst>
        </c:ser>
        <c:dLbls>
          <c:dLblPos val="outEnd"/>
          <c:showLegendKey val="0"/>
          <c:showVal val="1"/>
          <c:showCatName val="0"/>
          <c:showSerName val="0"/>
          <c:showPercent val="0"/>
          <c:showBubbleSize val="0"/>
        </c:dLbls>
        <c:gapWidth val="100"/>
        <c:overlap val="-24"/>
        <c:axId val="1335959760"/>
        <c:axId val="1335960240"/>
      </c:barChart>
      <c:dateAx>
        <c:axId val="1335959760"/>
        <c:scaling>
          <c:orientation val="minMax"/>
        </c:scaling>
        <c:delete val="0"/>
        <c:axPos val="b"/>
        <c:numFmt formatCode="&quot;FY&quot;yy&quot;E&quot;"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335960240"/>
        <c:crossesAt val="0"/>
        <c:auto val="1"/>
        <c:lblOffset val="100"/>
        <c:baseTimeUnit val="years"/>
      </c:dateAx>
      <c:valAx>
        <c:axId val="1335960240"/>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2"/>
                </a:solidFill>
                <a:latin typeface="Arial" panose="020B0604020202020204" pitchFamily="34" charset="0"/>
                <a:ea typeface="+mn-ea"/>
                <a:cs typeface="Arial" panose="020B0604020202020204" pitchFamily="34" charset="0"/>
              </a:defRPr>
            </a:pPr>
            <a:endParaRPr lang="en-US"/>
          </a:p>
        </c:txPr>
        <c:crossAx val="133595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rgbClr val="002D72"/>
            </a:solidFill>
            <a:ln>
              <a:noFill/>
            </a:ln>
            <a:effectLst/>
          </c:spPr>
          <c:dLbls>
            <c:dLbl>
              <c:idx val="0"/>
              <c:delete val="1"/>
              <c:extLst>
                <c:ext xmlns:c15="http://schemas.microsoft.com/office/drawing/2012/chart" uri="{CE6537A1-D6FC-4f65-9D91-7224C49458BB}"/>
                <c:ext xmlns:c16="http://schemas.microsoft.com/office/drawing/2014/chart" uri="{C3380CC4-5D6E-409C-BE32-E72D297353CC}">
                  <c16:uniqueId val="{00000000-15E6-4F5B-B690-A67809B6959F}"/>
                </c:ext>
              </c:extLst>
            </c:dLbl>
            <c:dLbl>
              <c:idx val="1"/>
              <c:delete val="1"/>
              <c:extLst>
                <c:ext xmlns:c15="http://schemas.microsoft.com/office/drawing/2012/chart" uri="{CE6537A1-D6FC-4f65-9D91-7224C49458BB}"/>
                <c:ext xmlns:c16="http://schemas.microsoft.com/office/drawing/2014/chart" uri="{C3380CC4-5D6E-409C-BE32-E72D297353CC}">
                  <c16:uniqueId val="{00000001-15E6-4F5B-B690-A67809B6959F}"/>
                </c:ext>
              </c:extLst>
            </c:dLbl>
            <c:dLbl>
              <c:idx val="2"/>
              <c:delete val="1"/>
              <c:extLst>
                <c:ext xmlns:c15="http://schemas.microsoft.com/office/drawing/2012/chart" uri="{CE6537A1-D6FC-4f65-9D91-7224C49458BB}"/>
                <c:ext xmlns:c16="http://schemas.microsoft.com/office/drawing/2014/chart" uri="{C3380CC4-5D6E-409C-BE32-E72D297353CC}">
                  <c16:uniqueId val="{00000002-15E6-4F5B-B690-A67809B6959F}"/>
                </c:ext>
              </c:extLst>
            </c:dLbl>
            <c:dLbl>
              <c:idx val="3"/>
              <c:delete val="1"/>
              <c:extLst>
                <c:ext xmlns:c15="http://schemas.microsoft.com/office/drawing/2012/chart" uri="{CE6537A1-D6FC-4f65-9D91-7224C49458BB}"/>
                <c:ext xmlns:c16="http://schemas.microsoft.com/office/drawing/2014/chart" uri="{C3380CC4-5D6E-409C-BE32-E72D297353CC}">
                  <c16:uniqueId val="{00000003-15E6-4F5B-B690-A67809B6959F}"/>
                </c:ext>
              </c:extLst>
            </c:dLbl>
            <c:dLbl>
              <c:idx val="4"/>
              <c:layout>
                <c:manualLayout>
                  <c:x val="-1.2042389210019267E-3"/>
                  <c:y val="-0.418818129661503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E6-4F5B-B690-A67809B6959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D7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'[2]Cash Flow Forecast'!$E$3:$I$3</c:f>
              <c:numCache>
                <c:formatCode>"FY"yy"E"</c:formatCode>
                <c:ptCount val="5"/>
                <c:pt idx="0">
                  <c:v>44196</c:v>
                </c:pt>
                <c:pt idx="1">
                  <c:v>44561</c:v>
                </c:pt>
                <c:pt idx="2">
                  <c:v>44926</c:v>
                </c:pt>
                <c:pt idx="3">
                  <c:v>45291</c:v>
                </c:pt>
                <c:pt idx="4">
                  <c:v>45657</c:v>
                </c:pt>
              </c:numCache>
            </c:numRef>
          </c:cat>
          <c:val>
            <c:numRef>
              <c:f>'[2]Cash Flow Forecast'!$E$17:$I$17</c:f>
              <c:numCache>
                <c:formatCode>#,##0;\(#,##0\);\-</c:formatCode>
                <c:ptCount val="5"/>
                <c:pt idx="0">
                  <c:v>15000</c:v>
                </c:pt>
                <c:pt idx="1">
                  <c:v>15000</c:v>
                </c:pt>
                <c:pt idx="2">
                  <c:v>15000</c:v>
                </c:pt>
                <c:pt idx="3">
                  <c:v>15000</c:v>
                </c:pt>
                <c:pt idx="4">
                  <c:v>52259.377088012465</c:v>
                </c:pt>
              </c:numCache>
            </c:numRef>
          </c:val>
          <c:extLst>
            <c:ext xmlns:c16="http://schemas.microsoft.com/office/drawing/2014/chart" uri="{C3380CC4-5D6E-409C-BE32-E72D297353CC}">
              <c16:uniqueId val="{00000005-15E6-4F5B-B690-A67809B6959F}"/>
            </c:ext>
          </c:extLst>
        </c:ser>
        <c:dLbls>
          <c:showLegendKey val="0"/>
          <c:showVal val="1"/>
          <c:showCatName val="0"/>
          <c:showSerName val="0"/>
          <c:showPercent val="0"/>
          <c:showBubbleSize val="0"/>
        </c:dLbls>
        <c:axId val="1326309600"/>
        <c:axId val="1500339280"/>
      </c:areaChart>
      <c:dateAx>
        <c:axId val="1326309600"/>
        <c:scaling>
          <c:orientation val="minMax"/>
        </c:scaling>
        <c:delete val="0"/>
        <c:axPos val="b"/>
        <c:numFmt formatCode="&quot;FY&quot;yy&quot;E&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00339280"/>
        <c:crosses val="autoZero"/>
        <c:auto val="1"/>
        <c:lblOffset val="100"/>
        <c:baseTimeUnit val="years"/>
      </c:dateAx>
      <c:valAx>
        <c:axId val="150033928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263096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D72"/>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'[2]Cash Flow Forecast'!$E$3:$I$3</c:f>
              <c:numCache>
                <c:formatCode>"FY"yy"E"</c:formatCode>
                <c:ptCount val="5"/>
                <c:pt idx="0">
                  <c:v>44196</c:v>
                </c:pt>
                <c:pt idx="1">
                  <c:v>44561</c:v>
                </c:pt>
                <c:pt idx="2">
                  <c:v>44926</c:v>
                </c:pt>
                <c:pt idx="3">
                  <c:v>45291</c:v>
                </c:pt>
                <c:pt idx="4">
                  <c:v>45657</c:v>
                </c:pt>
              </c:numCache>
            </c:numRef>
          </c:cat>
          <c:val>
            <c:numRef>
              <c:f>'[2]Cash Flow Forecast'!$E$23:$I$23</c:f>
              <c:numCache>
                <c:formatCode>#,##0;\(#,##0\);\-</c:formatCode>
                <c:ptCount val="5"/>
                <c:pt idx="0">
                  <c:v>351465.6</c:v>
                </c:pt>
                <c:pt idx="1">
                  <c:v>285148.92638399999</c:v>
                </c:pt>
                <c:pt idx="2">
                  <c:v>199269.11056613372</c:v>
                </c:pt>
                <c:pt idx="3">
                  <c:v>92237.198721037974</c:v>
                </c:pt>
                <c:pt idx="4">
                  <c:v>0</c:v>
                </c:pt>
              </c:numCache>
            </c:numRef>
          </c:val>
          <c:smooth val="0"/>
          <c:extLst>
            <c:ext xmlns:c16="http://schemas.microsoft.com/office/drawing/2014/chart" uri="{C3380CC4-5D6E-409C-BE32-E72D297353CC}">
              <c16:uniqueId val="{00000000-50E7-4EFB-9195-BCF3AB5772AF}"/>
            </c:ext>
          </c:extLst>
        </c:ser>
        <c:dLbls>
          <c:dLblPos val="t"/>
          <c:showLegendKey val="0"/>
          <c:showVal val="1"/>
          <c:showCatName val="0"/>
          <c:showSerName val="0"/>
          <c:showPercent val="0"/>
          <c:showBubbleSize val="0"/>
        </c:dLbls>
        <c:smooth val="0"/>
        <c:axId val="1499741280"/>
        <c:axId val="1499739840"/>
      </c:lineChart>
      <c:dateAx>
        <c:axId val="1499741280"/>
        <c:scaling>
          <c:orientation val="minMax"/>
        </c:scaling>
        <c:delete val="0"/>
        <c:axPos val="b"/>
        <c:numFmt formatCode="&quot;FY&quot;yy&quot;E&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99739840"/>
        <c:crosses val="autoZero"/>
        <c:auto val="1"/>
        <c:lblOffset val="100"/>
        <c:baseTimeUnit val="years"/>
      </c:dateAx>
      <c:valAx>
        <c:axId val="149973984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99741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D7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'[2]Forecast Assumptions'!$E$3:$I$3</c:f>
              <c:numCache>
                <c:formatCode>"FY"yy"E"</c:formatCode>
                <c:ptCount val="5"/>
                <c:pt idx="0">
                  <c:v>44196</c:v>
                </c:pt>
                <c:pt idx="1">
                  <c:v>44561</c:v>
                </c:pt>
                <c:pt idx="2">
                  <c:v>44926</c:v>
                </c:pt>
                <c:pt idx="3">
                  <c:v>45291</c:v>
                </c:pt>
                <c:pt idx="4">
                  <c:v>45657</c:v>
                </c:pt>
              </c:numCache>
            </c:numRef>
          </c:cat>
          <c:val>
            <c:numRef>
              <c:f>'[2]Forecast Assumptions'!$E$8:$I$8</c:f>
              <c:numCache>
                <c:formatCode>#,##0;\(#,##0\);\-</c:formatCode>
                <c:ptCount val="5"/>
                <c:pt idx="0">
                  <c:v>100000</c:v>
                </c:pt>
                <c:pt idx="1">
                  <c:v>110000.00000000001</c:v>
                </c:pt>
                <c:pt idx="2">
                  <c:v>119900.00000000003</c:v>
                </c:pt>
                <c:pt idx="3">
                  <c:v>129492.00000000004</c:v>
                </c:pt>
                <c:pt idx="4">
                  <c:v>138556.44000000006</c:v>
                </c:pt>
              </c:numCache>
            </c:numRef>
          </c:val>
          <c:extLst>
            <c:ext xmlns:c16="http://schemas.microsoft.com/office/drawing/2014/chart" uri="{C3380CC4-5D6E-409C-BE32-E72D297353CC}">
              <c16:uniqueId val="{00000000-3598-4E82-9F2F-87F698CC0C3F}"/>
            </c:ext>
          </c:extLst>
        </c:ser>
        <c:dLbls>
          <c:showLegendKey val="0"/>
          <c:showVal val="1"/>
          <c:showCatName val="0"/>
          <c:showSerName val="0"/>
          <c:showPercent val="0"/>
          <c:showBubbleSize val="0"/>
        </c:dLbls>
        <c:gapWidth val="219"/>
        <c:overlap val="-27"/>
        <c:axId val="1523620400"/>
        <c:axId val="1523625200"/>
      </c:barChart>
      <c:lineChart>
        <c:grouping val="standard"/>
        <c:varyColors val="0"/>
        <c:ser>
          <c:idx val="1"/>
          <c:order val="1"/>
          <c:spPr>
            <a:ln w="28575" cap="rnd">
              <a:solidFill>
                <a:schemeClr val="accent2"/>
              </a:solidFill>
              <a:round/>
            </a:ln>
            <a:effectLst/>
          </c:spPr>
          <c:marker>
            <c:symbol val="none"/>
          </c:marker>
          <c:dLbls>
            <c:dLbl>
              <c:idx val="0"/>
              <c:layout>
                <c:manualLayout>
                  <c:x val="-1.7793594306049845E-2"/>
                  <c:y val="4.3029259896729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98-4E82-9F2F-87F698CC0C3F}"/>
                </c:ext>
              </c:extLst>
            </c:dLbl>
            <c:dLbl>
              <c:idx val="1"/>
              <c:layout>
                <c:manualLayout>
                  <c:x val="-1.6607354685646499E-2"/>
                  <c:y val="4.30292598967297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598-4E82-9F2F-87F698CC0C3F}"/>
                </c:ext>
              </c:extLst>
            </c:dLbl>
            <c:dLbl>
              <c:idx val="2"/>
              <c:layout>
                <c:manualLayout>
                  <c:x val="-1.542111506524318E-2"/>
                  <c:y val="3.7292025243832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98-4E82-9F2F-87F698CC0C3F}"/>
                </c:ext>
              </c:extLst>
            </c:dLbl>
            <c:dLbl>
              <c:idx val="3"/>
              <c:layout>
                <c:manualLayout>
                  <c:x val="-1.3048635824436623E-2"/>
                  <c:y val="3.72920252438324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598-4E82-9F2F-87F698CC0C3F}"/>
                </c:ext>
              </c:extLst>
            </c:dLbl>
            <c:dLbl>
              <c:idx val="4"/>
              <c:layout>
                <c:manualLayout>
                  <c:x val="-1.542111506524318E-2"/>
                  <c:y val="6.59781985083189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98-4E82-9F2F-87F698CC0C3F}"/>
                </c:ext>
              </c:extLst>
            </c:dLbl>
            <c:numFmt formatCode="[$$-45C]#,##0.00;[Red][$$-45C]#,##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'[2]Forecast Assumptions'!$E$3:$I$3</c:f>
              <c:numCache>
                <c:formatCode>"FY"yy"E"</c:formatCode>
                <c:ptCount val="5"/>
                <c:pt idx="0">
                  <c:v>44196</c:v>
                </c:pt>
                <c:pt idx="1">
                  <c:v>44561</c:v>
                </c:pt>
                <c:pt idx="2">
                  <c:v>44926</c:v>
                </c:pt>
                <c:pt idx="3">
                  <c:v>45291</c:v>
                </c:pt>
                <c:pt idx="4">
                  <c:v>45657</c:v>
                </c:pt>
              </c:numCache>
            </c:numRef>
          </c:cat>
          <c:val>
            <c:numRef>
              <c:f>'[2]Forecast Assumptions'!$E$9:$I$9</c:f>
              <c:numCache>
                <c:formatCode>#,##0.00;\(#,##0.00\);\-</c:formatCode>
                <c:ptCount val="5"/>
                <c:pt idx="0">
                  <c:v>4</c:v>
                </c:pt>
                <c:pt idx="1">
                  <c:v>4.16</c:v>
                </c:pt>
                <c:pt idx="2">
                  <c:v>4.3264000000000005</c:v>
                </c:pt>
                <c:pt idx="3">
                  <c:v>4.4994560000000003</c:v>
                </c:pt>
                <c:pt idx="4">
                  <c:v>4.6794342400000009</c:v>
                </c:pt>
              </c:numCache>
            </c:numRef>
          </c:val>
          <c:smooth val="0"/>
          <c:extLst>
            <c:ext xmlns:c16="http://schemas.microsoft.com/office/drawing/2014/chart" uri="{C3380CC4-5D6E-409C-BE32-E72D297353CC}">
              <c16:uniqueId val="{00000006-3598-4E82-9F2F-87F698CC0C3F}"/>
            </c:ext>
          </c:extLst>
        </c:ser>
        <c:dLbls>
          <c:showLegendKey val="0"/>
          <c:showVal val="1"/>
          <c:showCatName val="0"/>
          <c:showSerName val="0"/>
          <c:showPercent val="0"/>
          <c:showBubbleSize val="0"/>
        </c:dLbls>
        <c:marker val="1"/>
        <c:smooth val="0"/>
        <c:axId val="1523623760"/>
        <c:axId val="1523619440"/>
      </c:lineChart>
      <c:dateAx>
        <c:axId val="1523620400"/>
        <c:scaling>
          <c:orientation val="minMax"/>
        </c:scaling>
        <c:delete val="0"/>
        <c:axPos val="b"/>
        <c:numFmt formatCode="&quot;FY&quot;yy&quot;E&quot;"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3625200"/>
        <c:crosses val="autoZero"/>
        <c:auto val="1"/>
        <c:lblOffset val="100"/>
        <c:baseTimeUnit val="years"/>
      </c:dateAx>
      <c:valAx>
        <c:axId val="1523625200"/>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000" b="0" i="0" u="none" strike="noStrike" kern="1200" baseline="0">
                    <a:solidFill>
                      <a:srgbClr val="53565A"/>
                    </a:solidFill>
                    <a:latin typeface="Arial" panose="020B0604020202020204" pitchFamily="34" charset="0"/>
                    <a:cs typeface="Arial" panose="020B0604020202020204" pitchFamily="34" charset="0"/>
                  </a:rPr>
                  <a:t>Number of Units Sold</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3620400"/>
        <c:crosses val="autoZero"/>
        <c:crossBetween val="between"/>
      </c:valAx>
      <c:valAx>
        <c:axId val="1523619440"/>
        <c:scaling>
          <c:orientation val="minMax"/>
        </c:scaling>
        <c:delete val="0"/>
        <c:axPos val="r"/>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GB" sz="1000" b="0" i="0" u="none" strike="noStrike" kern="1200" baseline="0">
                    <a:solidFill>
                      <a:srgbClr val="53565A"/>
                    </a:solidFill>
                    <a:latin typeface="Arial" panose="020B0604020202020204" pitchFamily="34" charset="0"/>
                    <a:cs typeface="Arial" panose="020B0604020202020204" pitchFamily="34" charset="0"/>
                  </a:rPr>
                  <a:t>Average Sale Price</a:t>
                </a:r>
                <a:endParaRPr lang="en-IN" sz="1000" b="0" i="0" u="none" strike="noStrike" kern="1200" baseline="0">
                  <a:solidFill>
                    <a:sysClr val="windowText" lastClr="000000">
                      <a:lumMod val="65000"/>
                      <a:lumOff val="35000"/>
                    </a:sysClr>
                  </a:solidFill>
                  <a:latin typeface="+mn-lt"/>
                  <a:cs typeface="+mn-cs"/>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45C]#,##0.00;[Red][$$-45C]#,##0.0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23623760"/>
        <c:crosses val="max"/>
        <c:crossBetween val="between"/>
      </c:valAx>
      <c:dateAx>
        <c:axId val="1523623760"/>
        <c:scaling>
          <c:orientation val="minMax"/>
        </c:scaling>
        <c:delete val="1"/>
        <c:axPos val="b"/>
        <c:numFmt formatCode="&quot;FY&quot;yy&quot;E&quot;" sourceLinked="1"/>
        <c:majorTickMark val="out"/>
        <c:minorTickMark val="none"/>
        <c:tickLblPos val="nextTo"/>
        <c:crossAx val="1523619440"/>
        <c:crosses val="autoZero"/>
        <c:auto val="1"/>
        <c:lblOffset val="100"/>
        <c:baseTimeUnit val="years"/>
        <c:majorUnit val="1"/>
        <c:minorUnit val="1"/>
      </c:date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258535</xdr:colOff>
      <xdr:row>26</xdr:row>
      <xdr:rowOff>108858</xdr:rowOff>
    </xdr:from>
    <xdr:to>
      <xdr:col>17</xdr:col>
      <xdr:colOff>1325337</xdr:colOff>
      <xdr:row>29</xdr:row>
      <xdr:rowOff>0</xdr:rowOff>
    </xdr:to>
    <xdr:sp macro="" textlink="">
      <xdr:nvSpPr>
        <xdr:cNvPr id="2" name="Rectangle: Rounded Corners 1">
          <a:extLst>
            <a:ext uri="{FF2B5EF4-FFF2-40B4-BE49-F238E27FC236}">
              <a16:creationId xmlns:a16="http://schemas.microsoft.com/office/drawing/2014/main" id="{BAC16180-2AFF-45F2-9F96-D9C4E3E01A3C}"/>
            </a:ext>
          </a:extLst>
        </xdr:cNvPr>
        <xdr:cNvSpPr/>
      </xdr:nvSpPr>
      <xdr:spPr>
        <a:xfrm>
          <a:off x="12625795" y="5313318"/>
          <a:ext cx="10988042" cy="46264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latin typeface="Arial" panose="020B0604020202020204" pitchFamily="34" charset="0"/>
              <a:cs typeface="Arial" panose="020B0604020202020204" pitchFamily="34" charset="0"/>
            </a:rPr>
            <a:t>Net Interest: </a:t>
          </a:r>
          <a:r>
            <a:rPr lang="en-GB" sz="1100" b="0" u="none">
              <a:latin typeface="Arial" panose="020B0604020202020204" pitchFamily="34" charset="0"/>
              <a:cs typeface="Arial" panose="020B0604020202020204" pitchFamily="34" charset="0"/>
            </a:rPr>
            <a:t>Once the Cash</a:t>
          </a:r>
          <a:r>
            <a:rPr lang="en-GB" sz="1100" b="0" u="none" baseline="0">
              <a:latin typeface="Arial" panose="020B0604020202020204" pitchFamily="34" charset="0"/>
              <a:cs typeface="Arial" panose="020B0604020202020204" pitchFamily="34" charset="0"/>
            </a:rPr>
            <a:t> Flow Forecast tab is complete, link up Net Interest for each year to the calculated figures from the Cash Flow tab.</a:t>
          </a:r>
          <a:endParaRPr lang="en-GB" sz="1100" b="0" u="none">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95250</xdr:colOff>
      <xdr:row>3</xdr:row>
      <xdr:rowOff>122464</xdr:rowOff>
    </xdr:from>
    <xdr:to>
      <xdr:col>17</xdr:col>
      <xdr:colOff>1162052</xdr:colOff>
      <xdr:row>9</xdr:row>
      <xdr:rowOff>176892</xdr:rowOff>
    </xdr:to>
    <xdr:sp macro="" textlink="">
      <xdr:nvSpPr>
        <xdr:cNvPr id="2" name="Rectangle: Rounded Corners 1">
          <a:extLst>
            <a:ext uri="{FF2B5EF4-FFF2-40B4-BE49-F238E27FC236}">
              <a16:creationId xmlns:a16="http://schemas.microsoft.com/office/drawing/2014/main" id="{120FAA31-C22B-44BB-B975-FAC13B50BF43}"/>
            </a:ext>
          </a:extLst>
        </xdr:cNvPr>
        <xdr:cNvSpPr/>
      </xdr:nvSpPr>
      <xdr:spPr>
        <a:xfrm>
          <a:off x="14268450" y="671104"/>
          <a:ext cx="10988042" cy="11517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latin typeface="Arial" panose="020B0604020202020204" pitchFamily="34" charset="0"/>
              <a:cs typeface="Arial" panose="020B0604020202020204" pitchFamily="34" charset="0"/>
            </a:rPr>
            <a:t>Net Cash Flow: </a:t>
          </a:r>
          <a:r>
            <a:rPr lang="en-GB" sz="1100" b="0" u="none">
              <a:latin typeface="Arial" panose="020B0604020202020204" pitchFamily="34" charset="0"/>
              <a:cs typeface="Arial" panose="020B0604020202020204" pitchFamily="34" charset="0"/>
            </a:rPr>
            <a:t>Link up EBITDA</a:t>
          </a:r>
          <a:r>
            <a:rPr lang="en-GB" sz="1100" b="0" u="none" baseline="0">
              <a:latin typeface="Arial" panose="020B0604020202020204" pitchFamily="34" charset="0"/>
              <a:cs typeface="Arial" panose="020B0604020202020204" pitchFamily="34" charset="0"/>
            </a:rPr>
            <a:t>, Taxes and Dividends from the P&amp;L (ensure the right sign for dividends given it takes cash away from the business). For Change in NWC, use the % of revenue assumption to calculate the figure for each year. For Net Interest, calculate Interest Expense (opening debt x debt interest rate --&gt; should be negative) and Interest Income (opening cash x cash interest rate), and sum them together. For Net Capex, use the % of revenue assumption to calculate the figure for each year.</a:t>
          </a:r>
          <a:br>
            <a:rPr lang="en-GB" sz="1100" b="0" u="none" baseline="0">
              <a:latin typeface="Arial" panose="020B0604020202020204" pitchFamily="34" charset="0"/>
              <a:cs typeface="Arial" panose="020B0604020202020204" pitchFamily="34" charset="0"/>
            </a:rPr>
          </a:br>
          <a:br>
            <a:rPr lang="en-GB" sz="1100" b="0" u="none" baseline="0">
              <a:latin typeface="Arial" panose="020B0604020202020204" pitchFamily="34" charset="0"/>
              <a:cs typeface="Arial" panose="020B0604020202020204" pitchFamily="34" charset="0"/>
            </a:rPr>
          </a:br>
          <a:r>
            <a:rPr lang="en-GB" sz="1100" b="0" u="none" baseline="0">
              <a:latin typeface="Arial" panose="020B0604020202020204" pitchFamily="34" charset="0"/>
              <a:cs typeface="Arial" panose="020B0604020202020204" pitchFamily="34" charset="0"/>
            </a:rPr>
            <a:t>Thereafter, sum all of the aforementioned line items to calculate Net Cash Flow.</a:t>
          </a:r>
          <a:endParaRPr lang="en-GB" sz="1100" b="0" u="none">
            <a:latin typeface="Arial" panose="020B0604020202020204" pitchFamily="34" charset="0"/>
            <a:cs typeface="Arial" panose="020B0604020202020204" pitchFamily="34" charset="0"/>
          </a:endParaRPr>
        </a:p>
      </xdr:txBody>
    </xdr:sp>
    <xdr:clientData/>
  </xdr:twoCellAnchor>
  <xdr:twoCellAnchor>
    <xdr:from>
      <xdr:col>10</xdr:col>
      <xdr:colOff>95250</xdr:colOff>
      <xdr:row>10</xdr:row>
      <xdr:rowOff>68036</xdr:rowOff>
    </xdr:from>
    <xdr:to>
      <xdr:col>17</xdr:col>
      <xdr:colOff>1162052</xdr:colOff>
      <xdr:row>12</xdr:row>
      <xdr:rowOff>149678</xdr:rowOff>
    </xdr:to>
    <xdr:sp macro="" textlink="">
      <xdr:nvSpPr>
        <xdr:cNvPr id="3" name="Rectangle: Rounded Corners 2">
          <a:extLst>
            <a:ext uri="{FF2B5EF4-FFF2-40B4-BE49-F238E27FC236}">
              <a16:creationId xmlns:a16="http://schemas.microsoft.com/office/drawing/2014/main" id="{D023C71E-82C1-4C1A-94BF-49323F7EFEDA}"/>
            </a:ext>
          </a:extLst>
        </xdr:cNvPr>
        <xdr:cNvSpPr/>
      </xdr:nvSpPr>
      <xdr:spPr>
        <a:xfrm>
          <a:off x="14268450" y="1896836"/>
          <a:ext cx="10988042" cy="4474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latin typeface="Arial" panose="020B0604020202020204" pitchFamily="34" charset="0"/>
              <a:cs typeface="Arial" panose="020B0604020202020204" pitchFamily="34" charset="0"/>
            </a:rPr>
            <a:t>Debt</a:t>
          </a:r>
          <a:r>
            <a:rPr lang="en-GB" sz="1100" b="1" u="none" baseline="0">
              <a:latin typeface="Arial" panose="020B0604020202020204" pitchFamily="34" charset="0"/>
              <a:cs typeface="Arial" panose="020B0604020202020204" pitchFamily="34" charset="0"/>
            </a:rPr>
            <a:t> Paydown</a:t>
          </a:r>
          <a:r>
            <a:rPr lang="en-GB" sz="1100" b="1" u="none">
              <a:latin typeface="Arial" panose="020B0604020202020204" pitchFamily="34" charset="0"/>
              <a:cs typeface="Arial" panose="020B0604020202020204" pitchFamily="34" charset="0"/>
            </a:rPr>
            <a:t>: </a:t>
          </a:r>
          <a:r>
            <a:rPr lang="en-GB" sz="1100" b="0" u="none">
              <a:latin typeface="Arial" panose="020B0604020202020204" pitchFamily="34" charset="0"/>
              <a:cs typeface="Arial" panose="020B0604020202020204" pitchFamily="34" charset="0"/>
            </a:rPr>
            <a:t>Come up with a formula that takes into account</a:t>
          </a:r>
          <a:r>
            <a:rPr lang="en-GB" sz="1100" b="0" u="none" baseline="0">
              <a:latin typeface="Arial" panose="020B0604020202020204" pitchFamily="34" charset="0"/>
              <a:cs typeface="Arial" panose="020B0604020202020204" pitchFamily="34" charset="0"/>
            </a:rPr>
            <a:t> the client's wishes to use all excess net cash flow to pay down debt. HINT: Use a formula that ensures that the company pays down the entirety of its debt if it has the excess net cash flow to do so, or in the alternative, pays down whatever it can with that net cash flow.</a:t>
          </a:r>
          <a:endParaRPr lang="en-GB" sz="1100" b="0" u="none">
            <a:latin typeface="Arial" panose="020B0604020202020204" pitchFamily="34" charset="0"/>
            <a:cs typeface="Arial" panose="020B0604020202020204" pitchFamily="34" charset="0"/>
          </a:endParaRPr>
        </a:p>
      </xdr:txBody>
    </xdr:sp>
    <xdr:clientData/>
  </xdr:twoCellAnchor>
  <xdr:twoCellAnchor>
    <xdr:from>
      <xdr:col>10</xdr:col>
      <xdr:colOff>95250</xdr:colOff>
      <xdr:row>14</xdr:row>
      <xdr:rowOff>1</xdr:rowOff>
    </xdr:from>
    <xdr:to>
      <xdr:col>17</xdr:col>
      <xdr:colOff>1162052</xdr:colOff>
      <xdr:row>16</xdr:row>
      <xdr:rowOff>81643</xdr:rowOff>
    </xdr:to>
    <xdr:sp macro="" textlink="">
      <xdr:nvSpPr>
        <xdr:cNvPr id="4" name="Rectangle: Rounded Corners 3">
          <a:extLst>
            <a:ext uri="{FF2B5EF4-FFF2-40B4-BE49-F238E27FC236}">
              <a16:creationId xmlns:a16="http://schemas.microsoft.com/office/drawing/2014/main" id="{BEEDF36A-7C0D-4EA2-B8CE-CF1C49F9D4A4}"/>
            </a:ext>
          </a:extLst>
        </xdr:cNvPr>
        <xdr:cNvSpPr/>
      </xdr:nvSpPr>
      <xdr:spPr>
        <a:xfrm>
          <a:off x="14268450" y="2560321"/>
          <a:ext cx="10988042" cy="4474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latin typeface="Arial" panose="020B0604020202020204" pitchFamily="34" charset="0"/>
              <a:cs typeface="Arial" panose="020B0604020202020204" pitchFamily="34" charset="0"/>
            </a:rPr>
            <a:t>Cash: </a:t>
          </a:r>
          <a:r>
            <a:rPr lang="en-GB" sz="1100" b="0" u="none">
              <a:latin typeface="Arial" panose="020B0604020202020204" pitchFamily="34" charset="0"/>
              <a:cs typeface="Arial" panose="020B0604020202020204" pitchFamily="34" charset="0"/>
            </a:rPr>
            <a:t>Ensure closing cash in one period is the opening balance in the next period. Additionally, link up cash to balance sheet</a:t>
          </a:r>
          <a:r>
            <a:rPr lang="en-GB" sz="1100" b="0" u="none" baseline="0">
              <a:latin typeface="Arial" panose="020B0604020202020204" pitchFamily="34" charset="0"/>
              <a:cs typeface="Arial" panose="020B0604020202020204" pitchFamily="34" charset="0"/>
            </a:rPr>
            <a:t> from the schedule above. Lastly, calculate closing cash for each period.</a:t>
          </a:r>
          <a:endParaRPr lang="en-GB" sz="1100" b="0" u="none">
            <a:latin typeface="Arial" panose="020B0604020202020204" pitchFamily="34" charset="0"/>
            <a:cs typeface="Arial" panose="020B0604020202020204" pitchFamily="34" charset="0"/>
          </a:endParaRPr>
        </a:p>
      </xdr:txBody>
    </xdr:sp>
    <xdr:clientData/>
  </xdr:twoCellAnchor>
  <xdr:twoCellAnchor>
    <xdr:from>
      <xdr:col>10</xdr:col>
      <xdr:colOff>95250</xdr:colOff>
      <xdr:row>20</xdr:row>
      <xdr:rowOff>27215</xdr:rowOff>
    </xdr:from>
    <xdr:to>
      <xdr:col>17</xdr:col>
      <xdr:colOff>1162052</xdr:colOff>
      <xdr:row>22</xdr:row>
      <xdr:rowOff>108857</xdr:rowOff>
    </xdr:to>
    <xdr:sp macro="" textlink="">
      <xdr:nvSpPr>
        <xdr:cNvPr id="5" name="Rectangle: Rounded Corners 4">
          <a:extLst>
            <a:ext uri="{FF2B5EF4-FFF2-40B4-BE49-F238E27FC236}">
              <a16:creationId xmlns:a16="http://schemas.microsoft.com/office/drawing/2014/main" id="{EFEDE31D-90FB-4A46-9404-E709C1822779}"/>
            </a:ext>
          </a:extLst>
        </xdr:cNvPr>
        <xdr:cNvSpPr/>
      </xdr:nvSpPr>
      <xdr:spPr>
        <a:xfrm>
          <a:off x="14268450" y="3684815"/>
          <a:ext cx="10988042" cy="44740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u="none">
              <a:latin typeface="Arial" panose="020B0604020202020204" pitchFamily="34" charset="0"/>
              <a:cs typeface="Arial" panose="020B0604020202020204" pitchFamily="34" charset="0"/>
            </a:rPr>
            <a:t>Debt: </a:t>
          </a:r>
          <a:r>
            <a:rPr lang="en-GB" sz="1100" b="0" u="none">
              <a:latin typeface="Arial" panose="020B0604020202020204" pitchFamily="34" charset="0"/>
              <a:cs typeface="Arial" panose="020B0604020202020204" pitchFamily="34" charset="0"/>
            </a:rPr>
            <a:t>Ensure closing debt in one period is the opening balance in the next period. Additionally, link up debt repayment </a:t>
          </a:r>
          <a:r>
            <a:rPr lang="en-GB" sz="1100" b="0" u="none" baseline="0">
              <a:latin typeface="Arial" panose="020B0604020202020204" pitchFamily="34" charset="0"/>
              <a:cs typeface="Arial" panose="020B0604020202020204" pitchFamily="34" charset="0"/>
            </a:rPr>
            <a:t>from the schedule above. Lastly, calculate closing debt for each period.</a:t>
          </a:r>
          <a:endParaRPr lang="en-GB" sz="1100" b="0" u="none">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659944</xdr:colOff>
      <xdr:row>4</xdr:row>
      <xdr:rowOff>97971</xdr:rowOff>
    </xdr:from>
    <xdr:to>
      <xdr:col>7</xdr:col>
      <xdr:colOff>639535</xdr:colOff>
      <xdr:row>27</xdr:row>
      <xdr:rowOff>108857</xdr:rowOff>
    </xdr:to>
    <xdr:graphicFrame macro="">
      <xdr:nvGraphicFramePr>
        <xdr:cNvPr id="2" name="Chart 1">
          <a:extLst>
            <a:ext uri="{FF2B5EF4-FFF2-40B4-BE49-F238E27FC236}">
              <a16:creationId xmlns:a16="http://schemas.microsoft.com/office/drawing/2014/main" id="{E51A88A7-A93C-4009-836B-F4330CDFD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1287780</xdr:colOff>
      <xdr:row>31</xdr:row>
      <xdr:rowOff>152400</xdr:rowOff>
    </xdr:from>
    <xdr:to>
      <xdr:col>7</xdr:col>
      <xdr:colOff>609600</xdr:colOff>
      <xdr:row>56</xdr:row>
      <xdr:rowOff>30480</xdr:rowOff>
    </xdr:to>
    <xdr:graphicFrame macro="">
      <xdr:nvGraphicFramePr>
        <xdr:cNvPr id="3" name="Chart 2">
          <a:extLst>
            <a:ext uri="{FF2B5EF4-FFF2-40B4-BE49-F238E27FC236}">
              <a16:creationId xmlns:a16="http://schemas.microsoft.com/office/drawing/2014/main" id="{AEEDF289-5F9D-4A6C-AB69-C1C0332A6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861060</xdr:colOff>
      <xdr:row>88</xdr:row>
      <xdr:rowOff>76200</xdr:rowOff>
    </xdr:from>
    <xdr:to>
      <xdr:col>7</xdr:col>
      <xdr:colOff>937260</xdr:colOff>
      <xdr:row>111</xdr:row>
      <xdr:rowOff>121920</xdr:rowOff>
    </xdr:to>
    <xdr:graphicFrame macro="">
      <xdr:nvGraphicFramePr>
        <xdr:cNvPr id="4" name="Chart 3">
          <a:extLst>
            <a:ext uri="{FF2B5EF4-FFF2-40B4-BE49-F238E27FC236}">
              <a16:creationId xmlns:a16="http://schemas.microsoft.com/office/drawing/2014/main" id="{F2563382-4803-4252-A0D4-875B58DFF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746760</xdr:colOff>
      <xdr:row>60</xdr:row>
      <xdr:rowOff>22860</xdr:rowOff>
    </xdr:from>
    <xdr:to>
      <xdr:col>7</xdr:col>
      <xdr:colOff>1066800</xdr:colOff>
      <xdr:row>83</xdr:row>
      <xdr:rowOff>99060</xdr:rowOff>
    </xdr:to>
    <xdr:graphicFrame macro="">
      <xdr:nvGraphicFramePr>
        <xdr:cNvPr id="5" name="Chart 4">
          <a:extLst>
            <a:ext uri="{FF2B5EF4-FFF2-40B4-BE49-F238E27FC236}">
              <a16:creationId xmlns:a16="http://schemas.microsoft.com/office/drawing/2014/main" id="{26AF0191-2EA1-4D1F-9C8B-5CD8FF540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800100</xdr:colOff>
      <xdr:row>116</xdr:row>
      <xdr:rowOff>114300</xdr:rowOff>
    </xdr:from>
    <xdr:to>
      <xdr:col>7</xdr:col>
      <xdr:colOff>1036320</xdr:colOff>
      <xdr:row>139</xdr:row>
      <xdr:rowOff>160020</xdr:rowOff>
    </xdr:to>
    <xdr:graphicFrame macro="">
      <xdr:nvGraphicFramePr>
        <xdr:cNvPr id="6" name="Chart 5">
          <a:extLst>
            <a:ext uri="{FF2B5EF4-FFF2-40B4-BE49-F238E27FC236}">
              <a16:creationId xmlns:a16="http://schemas.microsoft.com/office/drawing/2014/main" id="{AFD5034E-F591-48A6-9AE1-F9FB3D8BF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MBA%20Internships\Excel%20Skill%20for%20Business\Assumptions%20(1).xlsx" TargetMode="External"/><Relationship Id="rId1" Type="http://schemas.openxmlformats.org/officeDocument/2006/relationships/externalLinkPath" Target="Assumptions%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MBA%20Internships\Excel%20Skill%20for%20Business\Outputs%20(1).xlsx" TargetMode="External"/><Relationship Id="rId1" Type="http://schemas.openxmlformats.org/officeDocument/2006/relationships/externalLinkPath" Target="Output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ssary"/>
      <sheetName val="Forecast Assumptions"/>
      <sheetName val="P&amp;L Forecast"/>
      <sheetName val="Cash Flow Forecast"/>
    </sheetNames>
    <sheetDataSet>
      <sheetData sheetId="0" refreshError="1"/>
      <sheetData sheetId="1">
        <row r="8">
          <cell r="E8">
            <v>100000</v>
          </cell>
          <cell r="F8">
            <v>110000.00000000001</v>
          </cell>
          <cell r="G8">
            <v>119900.00000000003</v>
          </cell>
          <cell r="H8">
            <v>129492.00000000004</v>
          </cell>
          <cell r="I8">
            <v>138556.44000000006</v>
          </cell>
        </row>
        <row r="9">
          <cell r="E9">
            <v>4</v>
          </cell>
          <cell r="F9">
            <v>4.16</v>
          </cell>
          <cell r="G9">
            <v>4.3264000000000005</v>
          </cell>
          <cell r="H9">
            <v>4.4994560000000003</v>
          </cell>
          <cell r="I9">
            <v>4.6794342400000009</v>
          </cell>
        </row>
        <row r="12">
          <cell r="E12">
            <v>60000</v>
          </cell>
          <cell r="F12">
            <v>66000</v>
          </cell>
          <cell r="G12">
            <v>71940</v>
          </cell>
          <cell r="H12">
            <v>77695.200000000012</v>
          </cell>
          <cell r="I12">
            <v>83133.864000000016</v>
          </cell>
        </row>
        <row r="13">
          <cell r="E13">
            <v>3</v>
          </cell>
          <cell r="F13">
            <v>3.12</v>
          </cell>
          <cell r="G13">
            <v>3.2448000000000001</v>
          </cell>
          <cell r="H13">
            <v>3.3745920000000003</v>
          </cell>
          <cell r="I13">
            <v>3.5095756800000002</v>
          </cell>
        </row>
        <row r="16">
          <cell r="E16">
            <v>50000</v>
          </cell>
          <cell r="F16">
            <v>55000.000000000007</v>
          </cell>
          <cell r="G16">
            <v>59950.000000000015</v>
          </cell>
          <cell r="H16">
            <v>64746.000000000022</v>
          </cell>
          <cell r="I16">
            <v>69278.22000000003</v>
          </cell>
        </row>
        <row r="17">
          <cell r="E17">
            <v>2.5</v>
          </cell>
          <cell r="F17">
            <v>2.6</v>
          </cell>
          <cell r="G17">
            <v>2.7040000000000002</v>
          </cell>
          <cell r="H17">
            <v>2.8121600000000004</v>
          </cell>
          <cell r="I17">
            <v>2.9246464000000008</v>
          </cell>
        </row>
        <row r="22">
          <cell r="E22">
            <v>1.5</v>
          </cell>
          <cell r="F22">
            <v>1.53</v>
          </cell>
          <cell r="G22">
            <v>1.5606</v>
          </cell>
          <cell r="H22">
            <v>1.591812</v>
          </cell>
          <cell r="I22">
            <v>1.6236482400000001</v>
          </cell>
        </row>
        <row r="23">
          <cell r="E23">
            <v>0.8</v>
          </cell>
          <cell r="F23">
            <v>0.81600000000000006</v>
          </cell>
          <cell r="G23">
            <v>0.83232000000000006</v>
          </cell>
          <cell r="H23">
            <v>0.84896640000000012</v>
          </cell>
          <cell r="I23">
            <v>0.86594572800000014</v>
          </cell>
        </row>
        <row r="24">
          <cell r="E24">
            <v>1.1000000000000001</v>
          </cell>
          <cell r="F24">
            <v>1.1220000000000001</v>
          </cell>
          <cell r="G24">
            <v>1.1444400000000001</v>
          </cell>
          <cell r="H24">
            <v>1.1673288000000002</v>
          </cell>
          <cell r="I24">
            <v>1.1906753760000002</v>
          </cell>
        </row>
        <row r="27">
          <cell r="E27">
            <v>150000</v>
          </cell>
          <cell r="F27">
            <v>157500</v>
          </cell>
          <cell r="G27">
            <v>165375</v>
          </cell>
          <cell r="H27">
            <v>173643.75</v>
          </cell>
          <cell r="I27">
            <v>182325.9375</v>
          </cell>
        </row>
        <row r="28">
          <cell r="E28">
            <v>60000</v>
          </cell>
          <cell r="F28">
            <v>61800</v>
          </cell>
          <cell r="G28">
            <v>63654</v>
          </cell>
          <cell r="H28">
            <v>65563.62</v>
          </cell>
          <cell r="I28">
            <v>67530.528599999991</v>
          </cell>
        </row>
        <row r="29">
          <cell r="E29">
            <v>10000</v>
          </cell>
          <cell r="F29">
            <v>10500</v>
          </cell>
          <cell r="G29">
            <v>11025</v>
          </cell>
          <cell r="H29">
            <v>11576.25</v>
          </cell>
          <cell r="I29">
            <v>12155.0625</v>
          </cell>
        </row>
        <row r="30">
          <cell r="E30">
            <v>5000</v>
          </cell>
          <cell r="F30">
            <v>5250</v>
          </cell>
          <cell r="G30">
            <v>5512.5</v>
          </cell>
          <cell r="H30">
            <v>5788.125</v>
          </cell>
          <cell r="I30">
            <v>6077.53125</v>
          </cell>
        </row>
        <row r="33">
          <cell r="E33">
            <v>-0.05</v>
          </cell>
          <cell r="F33">
            <v>-4.7500000000000001E-2</v>
          </cell>
          <cell r="G33">
            <v>-4.4999999999999998E-2</v>
          </cell>
          <cell r="H33">
            <v>-4.2499999999999996E-2</v>
          </cell>
          <cell r="I33">
            <v>-3.9999999999999994E-2</v>
          </cell>
        </row>
        <row r="37">
          <cell r="E37">
            <v>-0.05</v>
          </cell>
          <cell r="F37">
            <v>-4.7500000000000001E-2</v>
          </cell>
          <cell r="G37">
            <v>-4.4999999999999998E-2</v>
          </cell>
          <cell r="H37">
            <v>-4.2499999999999996E-2</v>
          </cell>
          <cell r="I37">
            <v>-3.9999999999999994E-2</v>
          </cell>
        </row>
        <row r="38">
          <cell r="E38">
            <v>-0.01</v>
          </cell>
          <cell r="F38">
            <v>-0.01</v>
          </cell>
          <cell r="G38">
            <v>-0.01</v>
          </cell>
          <cell r="H38">
            <v>-0.01</v>
          </cell>
          <cell r="I38">
            <v>-0.01</v>
          </cell>
        </row>
        <row r="39">
          <cell r="E39">
            <v>0.6</v>
          </cell>
          <cell r="F39">
            <v>0.6</v>
          </cell>
          <cell r="G39">
            <v>0.6</v>
          </cell>
          <cell r="H39">
            <v>0.6</v>
          </cell>
          <cell r="I39">
            <v>0.6</v>
          </cell>
        </row>
        <row r="43">
          <cell r="E43">
            <v>0.21</v>
          </cell>
          <cell r="F43">
            <v>0.21</v>
          </cell>
          <cell r="G43">
            <v>0.21</v>
          </cell>
          <cell r="H43">
            <v>0.21</v>
          </cell>
          <cell r="I43">
            <v>0.21</v>
          </cell>
        </row>
        <row r="44">
          <cell r="E44">
            <v>0.04</v>
          </cell>
        </row>
        <row r="45">
          <cell r="E45">
            <v>0.01</v>
          </cell>
        </row>
      </sheetData>
      <sheetData sheetId="2">
        <row r="8">
          <cell r="E8">
            <v>705000</v>
          </cell>
          <cell r="F8">
            <v>806520</v>
          </cell>
          <cell r="G8">
            <v>914271.07200000016</v>
          </cell>
          <cell r="H8">
            <v>1026909.2680704003</v>
          </cell>
          <cell r="I8">
            <v>1142744.6335087419</v>
          </cell>
        </row>
        <row r="32">
          <cell r="E32">
            <v>-36939</v>
          </cell>
          <cell r="F32">
            <v>-49430.991959999992</v>
          </cell>
          <cell r="G32">
            <v>-63147.881559974398</v>
          </cell>
          <cell r="H32">
            <v>-77953.199210183389</v>
          </cell>
          <cell r="I32">
            <v>-93652.040032496661</v>
          </cell>
        </row>
        <row r="37">
          <cell r="E37">
            <v>83376.599999999991</v>
          </cell>
          <cell r="F37">
            <v>111572.810424</v>
          </cell>
          <cell r="G37">
            <v>142533.78980679935</v>
          </cell>
          <cell r="H37">
            <v>175951.50678869965</v>
          </cell>
          <cell r="I37">
            <v>211386.03321620674</v>
          </cell>
        </row>
      </sheetData>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ssary"/>
      <sheetName val="Forecast Assumptions"/>
      <sheetName val="P&amp;L Forecast"/>
      <sheetName val="Cash Flow Forecast"/>
      <sheetName val="Outputs"/>
    </sheetNames>
    <sheetDataSet>
      <sheetData sheetId="0"/>
      <sheetData sheetId="1">
        <row r="3">
          <cell r="E3">
            <v>44196</v>
          </cell>
          <cell r="F3">
            <v>44561</v>
          </cell>
          <cell r="G3">
            <v>44926</v>
          </cell>
          <cell r="H3">
            <v>45291</v>
          </cell>
          <cell r="I3">
            <v>45657</v>
          </cell>
        </row>
        <row r="8">
          <cell r="B8" t="str">
            <v>Number of Units Sold</v>
          </cell>
          <cell r="E8">
            <v>100000</v>
          </cell>
          <cell r="F8">
            <v>110000.00000000001</v>
          </cell>
          <cell r="G8">
            <v>119900.00000000003</v>
          </cell>
          <cell r="H8">
            <v>129492.00000000004</v>
          </cell>
          <cell r="I8">
            <v>138556.44000000006</v>
          </cell>
        </row>
        <row r="9">
          <cell r="E9">
            <v>4</v>
          </cell>
          <cell r="F9">
            <v>4.16</v>
          </cell>
          <cell r="G9">
            <v>4.3264000000000005</v>
          </cell>
          <cell r="H9">
            <v>4.4994560000000003</v>
          </cell>
          <cell r="I9">
            <v>4.6794342400000009</v>
          </cell>
        </row>
      </sheetData>
      <sheetData sheetId="2">
        <row r="3">
          <cell r="E3">
            <v>44196</v>
          </cell>
          <cell r="F3">
            <v>44561</v>
          </cell>
          <cell r="G3">
            <v>44926</v>
          </cell>
          <cell r="H3">
            <v>45291</v>
          </cell>
          <cell r="I3">
            <v>45657</v>
          </cell>
        </row>
        <row r="8">
          <cell r="E8">
            <v>705000</v>
          </cell>
          <cell r="F8">
            <v>806520</v>
          </cell>
          <cell r="G8">
            <v>914271.07200000016</v>
          </cell>
          <cell r="H8">
            <v>1026909.2680704003</v>
          </cell>
          <cell r="I8">
            <v>1142744.6335087419</v>
          </cell>
        </row>
      </sheetData>
      <sheetData sheetId="3">
        <row r="3">
          <cell r="E3">
            <v>44196</v>
          </cell>
          <cell r="F3">
            <v>44561</v>
          </cell>
          <cell r="G3">
            <v>44926</v>
          </cell>
          <cell r="H3">
            <v>45291</v>
          </cell>
          <cell r="I3">
            <v>45657</v>
          </cell>
        </row>
        <row r="17">
          <cell r="E17">
            <v>15000</v>
          </cell>
          <cell r="F17">
            <v>15000</v>
          </cell>
          <cell r="G17">
            <v>15000</v>
          </cell>
          <cell r="H17">
            <v>15000</v>
          </cell>
          <cell r="I17">
            <v>52259.377088012465</v>
          </cell>
        </row>
        <row r="23">
          <cell r="E23">
            <v>351465.6</v>
          </cell>
          <cell r="F23">
            <v>285148.92638399999</v>
          </cell>
          <cell r="G23">
            <v>199269.11056613372</v>
          </cell>
          <cell r="H23">
            <v>92237.198721037974</v>
          </cell>
          <cell r="I23">
            <v>0</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2A632-FCB0-4F16-A1D4-35998AC4CFF1}">
  <dimension ref="A1:I47"/>
  <sheetViews>
    <sheetView showGridLines="0" zoomScaleNormal="100" zoomScaleSheetLayoutView="70" workbookViewId="0">
      <pane xSplit="3" ySplit="3" topLeftCell="E4" activePane="bottomRight" state="frozenSplit"/>
      <selection pane="topRight" activeCell="C1" sqref="C1"/>
      <selection pane="bottomLeft" activeCell="A3" sqref="A3"/>
      <selection pane="bottomRight" activeCell="B1" sqref="B1"/>
    </sheetView>
  </sheetViews>
  <sheetFormatPr defaultColWidth="20.6640625" defaultRowHeight="15" customHeight="1" outlineLevelCol="1" x14ac:dyDescent="0.25"/>
  <cols>
    <col min="1" max="1" width="2.6640625" style="1" customWidth="1"/>
    <col min="2" max="2" width="36" style="1" bestFit="1" customWidth="1"/>
    <col min="3" max="3" width="23.33203125" style="1" bestFit="1" customWidth="1"/>
    <col min="4" max="4" width="23.33203125" style="1" hidden="1" customWidth="1" outlineLevel="1"/>
    <col min="5" max="5" width="23.33203125" style="1" bestFit="1" customWidth="1" collapsed="1"/>
    <col min="6" max="9" width="23.33203125" style="1" bestFit="1" customWidth="1"/>
    <col min="10" max="10" width="1.6640625" style="1" customWidth="1"/>
    <col min="11" max="16384" width="20.6640625" style="1"/>
  </cols>
  <sheetData>
    <row r="1" spans="1:9" s="19" customFormat="1" ht="35.25" customHeight="1" x14ac:dyDescent="0.3">
      <c r="B1" s="20" t="s">
        <v>34</v>
      </c>
      <c r="C1" s="3"/>
      <c r="D1" s="3"/>
      <c r="E1" s="3"/>
    </row>
    <row r="3" spans="1:9" ht="15" customHeight="1" x14ac:dyDescent="0.25">
      <c r="B3" s="18" t="s">
        <v>33</v>
      </c>
      <c r="C3" s="17" t="s">
        <v>32</v>
      </c>
      <c r="D3" s="16">
        <v>43830</v>
      </c>
      <c r="E3" s="15">
        <f>EOMONTH(D3,12)</f>
        <v>44196</v>
      </c>
      <c r="F3" s="15">
        <f>EOMONTH(E3,12)</f>
        <v>44561</v>
      </c>
      <c r="G3" s="15">
        <f>EOMONTH(F3,12)</f>
        <v>44926</v>
      </c>
      <c r="H3" s="15">
        <f>EOMONTH(G3,12)</f>
        <v>45291</v>
      </c>
      <c r="I3" s="15">
        <f>EOMONTH(H3,12)</f>
        <v>45657</v>
      </c>
    </row>
    <row r="4" spans="1:9" ht="15" customHeight="1" x14ac:dyDescent="0.25">
      <c r="D4" s="4"/>
      <c r="E4" s="4"/>
      <c r="F4" s="4"/>
      <c r="G4" s="4"/>
      <c r="H4" s="4"/>
      <c r="I4" s="4"/>
    </row>
    <row r="5" spans="1:9" s="8" customFormat="1" ht="15" customHeight="1" x14ac:dyDescent="0.25">
      <c r="A5" s="10" t="s">
        <v>1</v>
      </c>
      <c r="B5" s="10" t="s">
        <v>31</v>
      </c>
      <c r="D5" s="9"/>
      <c r="E5" s="9"/>
      <c r="F5" s="9"/>
      <c r="G5" s="9"/>
      <c r="H5" s="9"/>
      <c r="I5" s="9"/>
    </row>
    <row r="6" spans="1:9" ht="15" customHeight="1" x14ac:dyDescent="0.25">
      <c r="D6" s="4"/>
      <c r="E6" s="4"/>
      <c r="F6" s="4"/>
      <c r="G6" s="4"/>
      <c r="H6" s="4"/>
      <c r="I6" s="4"/>
    </row>
    <row r="7" spans="1:9" ht="15" customHeight="1" x14ac:dyDescent="0.25">
      <c r="B7" s="12" t="s">
        <v>30</v>
      </c>
      <c r="D7" s="4"/>
      <c r="E7" s="4"/>
      <c r="F7" s="4"/>
      <c r="G7" s="4"/>
      <c r="H7" s="4"/>
      <c r="I7" s="4"/>
    </row>
    <row r="8" spans="1:9" ht="15" customHeight="1" x14ac:dyDescent="0.25">
      <c r="B8" s="1" t="s">
        <v>27</v>
      </c>
      <c r="C8" s="7" t="s">
        <v>26</v>
      </c>
      <c r="D8" s="6"/>
      <c r="E8" s="13">
        <v>100000</v>
      </c>
      <c r="F8" s="13">
        <f>E8*1.1</f>
        <v>110000.00000000001</v>
      </c>
      <c r="G8" s="13">
        <f>F8*1.09</f>
        <v>119900.00000000003</v>
      </c>
      <c r="H8" s="13">
        <f>G8*1.08</f>
        <v>129492.00000000004</v>
      </c>
      <c r="I8" s="13">
        <f>H8*1.07</f>
        <v>138556.44000000006</v>
      </c>
    </row>
    <row r="9" spans="1:9" ht="15" customHeight="1" x14ac:dyDescent="0.25">
      <c r="B9" s="1" t="s">
        <v>25</v>
      </c>
      <c r="C9" s="7" t="s">
        <v>14</v>
      </c>
      <c r="D9" s="6"/>
      <c r="E9" s="14">
        <v>4</v>
      </c>
      <c r="F9" s="14">
        <f>E9*1.04</f>
        <v>4.16</v>
      </c>
      <c r="G9" s="14">
        <f>F9*1.04</f>
        <v>4.3264000000000005</v>
      </c>
      <c r="H9" s="14">
        <f>G9*1.04</f>
        <v>4.4994560000000003</v>
      </c>
      <c r="I9" s="14">
        <f>H9*1.04</f>
        <v>4.6794342400000009</v>
      </c>
    </row>
    <row r="10" spans="1:9" ht="15" customHeight="1" x14ac:dyDescent="0.25">
      <c r="D10" s="4"/>
      <c r="E10" s="4"/>
      <c r="F10" s="4"/>
      <c r="G10" s="4"/>
      <c r="H10" s="4"/>
      <c r="I10" s="4"/>
    </row>
    <row r="11" spans="1:9" ht="15" customHeight="1" x14ac:dyDescent="0.25">
      <c r="B11" s="12" t="s">
        <v>29</v>
      </c>
      <c r="D11" s="4"/>
      <c r="E11" s="4"/>
      <c r="F11" s="4"/>
      <c r="G11" s="4"/>
      <c r="H11" s="4"/>
      <c r="I11" s="4"/>
    </row>
    <row r="12" spans="1:9" ht="15" customHeight="1" x14ac:dyDescent="0.25">
      <c r="B12" s="1" t="s">
        <v>27</v>
      </c>
      <c r="C12" s="7" t="s">
        <v>26</v>
      </c>
      <c r="D12" s="6"/>
      <c r="E12" s="13">
        <v>60000</v>
      </c>
      <c r="F12" s="13">
        <f>E12*1.1</f>
        <v>66000</v>
      </c>
      <c r="G12" s="13">
        <f>F12*1.09</f>
        <v>71940</v>
      </c>
      <c r="H12" s="13">
        <f>G12*1.08</f>
        <v>77695.200000000012</v>
      </c>
      <c r="I12" s="13">
        <f>H12*1.07</f>
        <v>83133.864000000016</v>
      </c>
    </row>
    <row r="13" spans="1:9" ht="15" customHeight="1" x14ac:dyDescent="0.25">
      <c r="B13" s="1" t="s">
        <v>25</v>
      </c>
      <c r="C13" s="7" t="s">
        <v>14</v>
      </c>
      <c r="D13" s="6"/>
      <c r="E13" s="14">
        <v>3</v>
      </c>
      <c r="F13" s="14">
        <f>E13*1.04</f>
        <v>3.12</v>
      </c>
      <c r="G13" s="14">
        <f>F13*1.04</f>
        <v>3.2448000000000001</v>
      </c>
      <c r="H13" s="14">
        <f>G13*1.04</f>
        <v>3.3745920000000003</v>
      </c>
      <c r="I13" s="14">
        <f>H13*1.04</f>
        <v>3.5095756800000002</v>
      </c>
    </row>
    <row r="14" spans="1:9" ht="15" customHeight="1" x14ac:dyDescent="0.25">
      <c r="D14" s="4"/>
      <c r="E14" s="4"/>
      <c r="F14" s="4"/>
      <c r="G14" s="4"/>
      <c r="H14" s="4"/>
      <c r="I14" s="4"/>
    </row>
    <row r="15" spans="1:9" ht="15" customHeight="1" x14ac:dyDescent="0.25">
      <c r="B15" s="12" t="s">
        <v>28</v>
      </c>
      <c r="D15" s="4"/>
      <c r="E15" s="4"/>
      <c r="F15" s="4"/>
      <c r="G15" s="4"/>
      <c r="H15" s="4"/>
      <c r="I15" s="4"/>
    </row>
    <row r="16" spans="1:9" ht="15" customHeight="1" x14ac:dyDescent="0.25">
      <c r="B16" s="1" t="s">
        <v>27</v>
      </c>
      <c r="C16" s="7" t="s">
        <v>26</v>
      </c>
      <c r="D16" s="6"/>
      <c r="E16" s="13">
        <v>50000</v>
      </c>
      <c r="F16" s="13">
        <f>E16*1.1</f>
        <v>55000.000000000007</v>
      </c>
      <c r="G16" s="13">
        <f>F16*1.09</f>
        <v>59950.000000000015</v>
      </c>
      <c r="H16" s="13">
        <f>G16*1.08</f>
        <v>64746.000000000022</v>
      </c>
      <c r="I16" s="13">
        <f>H16*1.07</f>
        <v>69278.22000000003</v>
      </c>
    </row>
    <row r="17" spans="1:9" ht="15" customHeight="1" x14ac:dyDescent="0.25">
      <c r="B17" s="1" t="s">
        <v>25</v>
      </c>
      <c r="C17" s="7" t="s">
        <v>14</v>
      </c>
      <c r="D17" s="6"/>
      <c r="E17" s="14">
        <v>2.5</v>
      </c>
      <c r="F17" s="14">
        <f>E17*1.04</f>
        <v>2.6</v>
      </c>
      <c r="G17" s="14">
        <f>F17*1.04</f>
        <v>2.7040000000000002</v>
      </c>
      <c r="H17" s="14">
        <f>G17*1.04</f>
        <v>2.8121600000000004</v>
      </c>
      <c r="I17" s="14">
        <f>H17*1.04</f>
        <v>2.9246464000000008</v>
      </c>
    </row>
    <row r="18" spans="1:9" ht="15" customHeight="1" x14ac:dyDescent="0.25">
      <c r="D18" s="4"/>
      <c r="E18" s="4"/>
      <c r="F18" s="4"/>
      <c r="G18" s="4"/>
      <c r="H18" s="4"/>
      <c r="I18" s="4"/>
    </row>
    <row r="19" spans="1:9" s="8" customFormat="1" ht="15" customHeight="1" x14ac:dyDescent="0.25">
      <c r="A19" s="10" t="s">
        <v>1</v>
      </c>
      <c r="B19" s="10" t="s">
        <v>24</v>
      </c>
      <c r="D19" s="9"/>
      <c r="E19" s="9"/>
      <c r="F19" s="9"/>
      <c r="G19" s="9"/>
      <c r="H19" s="9"/>
      <c r="I19" s="9"/>
    </row>
    <row r="20" spans="1:9" ht="15" customHeight="1" x14ac:dyDescent="0.25">
      <c r="D20" s="4"/>
      <c r="E20" s="4"/>
      <c r="F20" s="4"/>
      <c r="G20" s="4"/>
      <c r="H20" s="4"/>
      <c r="I20" s="4"/>
    </row>
    <row r="21" spans="1:9" ht="15" customHeight="1" x14ac:dyDescent="0.25">
      <c r="B21" s="12" t="s">
        <v>23</v>
      </c>
      <c r="D21" s="4"/>
      <c r="E21" s="4"/>
      <c r="F21" s="4"/>
      <c r="G21" s="4"/>
      <c r="H21" s="4"/>
      <c r="I21" s="4"/>
    </row>
    <row r="22" spans="1:9" ht="15" customHeight="1" x14ac:dyDescent="0.25">
      <c r="B22" s="1" t="s">
        <v>22</v>
      </c>
      <c r="C22" s="7" t="s">
        <v>14</v>
      </c>
      <c r="D22" s="6"/>
      <c r="E22" s="14">
        <v>1.5</v>
      </c>
      <c r="F22" s="14">
        <f>E22*1.02</f>
        <v>1.53</v>
      </c>
      <c r="G22" s="14">
        <f>F22*1.02</f>
        <v>1.5606</v>
      </c>
      <c r="H22" s="14">
        <f>G22*1.02</f>
        <v>1.591812</v>
      </c>
      <c r="I22" s="14">
        <f>H22*1.02</f>
        <v>1.6236482400000001</v>
      </c>
    </row>
    <row r="23" spans="1:9" ht="15" customHeight="1" x14ac:dyDescent="0.25">
      <c r="B23" s="1" t="s">
        <v>21</v>
      </c>
      <c r="C23" s="7" t="s">
        <v>14</v>
      </c>
      <c r="D23" s="6"/>
      <c r="E23" s="14">
        <v>0.8</v>
      </c>
      <c r="F23" s="14">
        <f>E23*1.02</f>
        <v>0.81600000000000006</v>
      </c>
      <c r="G23" s="14">
        <f>F23*1.02</f>
        <v>0.83232000000000006</v>
      </c>
      <c r="H23" s="14">
        <f>G23*1.02</f>
        <v>0.84896640000000012</v>
      </c>
      <c r="I23" s="14">
        <f>H23*1.02</f>
        <v>0.86594572800000014</v>
      </c>
    </row>
    <row r="24" spans="1:9" ht="15" customHeight="1" x14ac:dyDescent="0.25">
      <c r="B24" s="1" t="s">
        <v>20</v>
      </c>
      <c r="C24" s="7" t="s">
        <v>14</v>
      </c>
      <c r="D24" s="6"/>
      <c r="E24" s="14">
        <v>1.1000000000000001</v>
      </c>
      <c r="F24" s="14">
        <f>E24*1.02</f>
        <v>1.1220000000000001</v>
      </c>
      <c r="G24" s="14">
        <f>F24*1.02</f>
        <v>1.1444400000000001</v>
      </c>
      <c r="H24" s="14">
        <f>G24*1.02</f>
        <v>1.1673288000000002</v>
      </c>
      <c r="I24" s="14">
        <f>H24*1.02</f>
        <v>1.1906753760000002</v>
      </c>
    </row>
    <row r="25" spans="1:9" ht="15" customHeight="1" x14ac:dyDescent="0.25">
      <c r="D25" s="4"/>
      <c r="E25" s="4"/>
      <c r="F25" s="4"/>
      <c r="G25" s="4"/>
      <c r="H25" s="4"/>
      <c r="I25" s="4"/>
    </row>
    <row r="26" spans="1:9" ht="15" customHeight="1" x14ac:dyDescent="0.25">
      <c r="B26" s="12" t="s">
        <v>19</v>
      </c>
      <c r="D26" s="4"/>
      <c r="E26" s="4"/>
      <c r="F26" s="4"/>
      <c r="G26" s="4"/>
      <c r="H26" s="4"/>
      <c r="I26" s="4"/>
    </row>
    <row r="27" spans="1:9" ht="15" customHeight="1" x14ac:dyDescent="0.25">
      <c r="B27" s="1" t="s">
        <v>18</v>
      </c>
      <c r="C27" s="7" t="s">
        <v>14</v>
      </c>
      <c r="D27" s="6"/>
      <c r="E27" s="13">
        <v>150000</v>
      </c>
      <c r="F27" s="13">
        <f>E27*1.05</f>
        <v>157500</v>
      </c>
      <c r="G27" s="13">
        <f>F27*1.05</f>
        <v>165375</v>
      </c>
      <c r="H27" s="13">
        <f>G27*1.05</f>
        <v>173643.75</v>
      </c>
      <c r="I27" s="13">
        <f>H27*1.05</f>
        <v>182325.9375</v>
      </c>
    </row>
    <row r="28" spans="1:9" ht="15" customHeight="1" x14ac:dyDescent="0.25">
      <c r="B28" s="1" t="s">
        <v>17</v>
      </c>
      <c r="C28" s="7" t="s">
        <v>14</v>
      </c>
      <c r="D28" s="6"/>
      <c r="E28" s="13">
        <v>60000</v>
      </c>
      <c r="F28" s="13">
        <f>E28*1.03</f>
        <v>61800</v>
      </c>
      <c r="G28" s="13">
        <f>F28*1.03</f>
        <v>63654</v>
      </c>
      <c r="H28" s="13">
        <f>G28*1.03</f>
        <v>65563.62</v>
      </c>
      <c r="I28" s="13">
        <f>H28*1.03</f>
        <v>67530.528599999991</v>
      </c>
    </row>
    <row r="29" spans="1:9" ht="15" customHeight="1" x14ac:dyDescent="0.25">
      <c r="B29" s="1" t="s">
        <v>16</v>
      </c>
      <c r="C29" s="7" t="s">
        <v>14</v>
      </c>
      <c r="D29" s="6"/>
      <c r="E29" s="13">
        <v>10000</v>
      </c>
      <c r="F29" s="13">
        <f>E29*1.05</f>
        <v>10500</v>
      </c>
      <c r="G29" s="13">
        <f>F29*1.05</f>
        <v>11025</v>
      </c>
      <c r="H29" s="13">
        <f>G29*1.05</f>
        <v>11576.25</v>
      </c>
      <c r="I29" s="13">
        <f>H29*1.05</f>
        <v>12155.0625</v>
      </c>
    </row>
    <row r="30" spans="1:9" ht="15" customHeight="1" x14ac:dyDescent="0.25">
      <c r="B30" s="1" t="s">
        <v>15</v>
      </c>
      <c r="C30" s="7" t="s">
        <v>14</v>
      </c>
      <c r="D30" s="6"/>
      <c r="E30" s="13">
        <v>5000</v>
      </c>
      <c r="F30" s="13">
        <f>E30*1.05</f>
        <v>5250</v>
      </c>
      <c r="G30" s="13">
        <f>F30*1.05</f>
        <v>5512.5</v>
      </c>
      <c r="H30" s="13">
        <f>G30*1.05</f>
        <v>5788.125</v>
      </c>
      <c r="I30" s="13">
        <f>H30*1.05</f>
        <v>6077.53125</v>
      </c>
    </row>
    <row r="31" spans="1:9" ht="15" customHeight="1" x14ac:dyDescent="0.25">
      <c r="D31" s="4"/>
      <c r="E31" s="4"/>
      <c r="F31" s="4"/>
      <c r="G31" s="4"/>
      <c r="H31" s="4"/>
      <c r="I31" s="4"/>
    </row>
    <row r="32" spans="1:9" ht="15" customHeight="1" x14ac:dyDescent="0.25">
      <c r="B32" s="12" t="s">
        <v>13</v>
      </c>
      <c r="D32" s="4"/>
      <c r="E32" s="4"/>
      <c r="F32" s="4"/>
      <c r="G32" s="4"/>
      <c r="H32" s="4"/>
      <c r="I32" s="4"/>
    </row>
    <row r="33" spans="1:9" ht="15" customHeight="1" x14ac:dyDescent="0.25">
      <c r="B33" s="1" t="s">
        <v>12</v>
      </c>
      <c r="C33" s="7" t="s">
        <v>8</v>
      </c>
      <c r="D33" s="6"/>
      <c r="E33" s="5">
        <v>-0.05</v>
      </c>
      <c r="F33" s="5">
        <f>E33+0.25%</f>
        <v>-4.7500000000000001E-2</v>
      </c>
      <c r="G33" s="5">
        <f>F33+0.25%</f>
        <v>-4.4999999999999998E-2</v>
      </c>
      <c r="H33" s="5">
        <f>G33+0.25%</f>
        <v>-4.2499999999999996E-2</v>
      </c>
      <c r="I33" s="5">
        <f>H33+0.25%</f>
        <v>-3.9999999999999994E-2</v>
      </c>
    </row>
    <row r="34" spans="1:9" ht="15" customHeight="1" x14ac:dyDescent="0.25">
      <c r="D34" s="4"/>
      <c r="E34" s="4"/>
      <c r="F34" s="4"/>
      <c r="G34" s="4"/>
      <c r="H34" s="4"/>
      <c r="I34" s="4"/>
    </row>
    <row r="35" spans="1:9" s="8" customFormat="1" ht="15" customHeight="1" x14ac:dyDescent="0.25">
      <c r="A35" s="10" t="s">
        <v>1</v>
      </c>
      <c r="B35" s="10" t="s">
        <v>11</v>
      </c>
      <c r="D35" s="9"/>
      <c r="E35" s="9"/>
      <c r="F35" s="9"/>
      <c r="G35" s="9"/>
      <c r="H35" s="9"/>
      <c r="I35" s="9"/>
    </row>
    <row r="36" spans="1:9" ht="15" customHeight="1" x14ac:dyDescent="0.25">
      <c r="D36" s="4"/>
      <c r="E36" s="4"/>
      <c r="F36" s="4"/>
      <c r="G36" s="4"/>
      <c r="H36" s="4"/>
      <c r="I36" s="4"/>
    </row>
    <row r="37" spans="1:9" ht="15" customHeight="1" x14ac:dyDescent="0.25">
      <c r="B37" s="1" t="s">
        <v>10</v>
      </c>
      <c r="C37" s="7" t="s">
        <v>8</v>
      </c>
      <c r="D37" s="6"/>
      <c r="E37" s="11">
        <f>E33</f>
        <v>-0.05</v>
      </c>
      <c r="F37" s="5">
        <f>F33</f>
        <v>-4.7500000000000001E-2</v>
      </c>
      <c r="G37" s="5">
        <f>G33</f>
        <v>-4.4999999999999998E-2</v>
      </c>
      <c r="H37" s="5">
        <f>H33</f>
        <v>-4.2499999999999996E-2</v>
      </c>
      <c r="I37" s="5">
        <f>I33</f>
        <v>-3.9999999999999994E-2</v>
      </c>
    </row>
    <row r="38" spans="1:9" ht="15" customHeight="1" x14ac:dyDescent="0.25">
      <c r="B38" s="1" t="s">
        <v>9</v>
      </c>
      <c r="C38" s="7" t="s">
        <v>8</v>
      </c>
      <c r="D38" s="6"/>
      <c r="E38" s="11">
        <v>-0.01</v>
      </c>
      <c r="F38" s="5">
        <v>-0.01</v>
      </c>
      <c r="G38" s="5">
        <v>-0.01</v>
      </c>
      <c r="H38" s="5">
        <v>-0.01</v>
      </c>
      <c r="I38" s="5">
        <v>-0.01</v>
      </c>
    </row>
    <row r="39" spans="1:9" ht="15" customHeight="1" x14ac:dyDescent="0.25">
      <c r="B39" s="1" t="s">
        <v>7</v>
      </c>
      <c r="C39" s="7" t="s">
        <v>2</v>
      </c>
      <c r="D39" s="6"/>
      <c r="E39" s="5">
        <v>0.6</v>
      </c>
      <c r="F39" s="5">
        <v>0.6</v>
      </c>
      <c r="G39" s="5">
        <v>0.6</v>
      </c>
      <c r="H39" s="5">
        <v>0.6</v>
      </c>
      <c r="I39" s="5">
        <v>0.6</v>
      </c>
    </row>
    <row r="40" spans="1:9" ht="15" customHeight="1" x14ac:dyDescent="0.25">
      <c r="D40" s="4"/>
      <c r="E40" s="4"/>
      <c r="F40" s="4"/>
      <c r="G40" s="4"/>
      <c r="H40" s="4"/>
      <c r="I40" s="4"/>
    </row>
    <row r="41" spans="1:9" s="8" customFormat="1" ht="15" customHeight="1" x14ac:dyDescent="0.25">
      <c r="A41" s="10" t="s">
        <v>1</v>
      </c>
      <c r="B41" s="10" t="s">
        <v>6</v>
      </c>
      <c r="D41" s="9"/>
      <c r="E41" s="9"/>
      <c r="F41" s="9"/>
      <c r="G41" s="9"/>
      <c r="H41" s="9"/>
      <c r="I41" s="9"/>
    </row>
    <row r="42" spans="1:9" ht="15" customHeight="1" x14ac:dyDescent="0.25">
      <c r="D42" s="4"/>
      <c r="E42" s="4"/>
      <c r="F42" s="4"/>
      <c r="G42" s="4"/>
      <c r="H42" s="4"/>
      <c r="I42" s="4"/>
    </row>
    <row r="43" spans="1:9" ht="15" customHeight="1" x14ac:dyDescent="0.25">
      <c r="B43" s="1" t="s">
        <v>5</v>
      </c>
      <c r="C43" s="7" t="s">
        <v>2</v>
      </c>
      <c r="D43" s="6"/>
      <c r="E43" s="5">
        <v>0.21</v>
      </c>
      <c r="F43" s="5">
        <v>0.21</v>
      </c>
      <c r="G43" s="5">
        <v>0.21</v>
      </c>
      <c r="H43" s="5">
        <v>0.21</v>
      </c>
      <c r="I43" s="5">
        <v>0.21</v>
      </c>
    </row>
    <row r="44" spans="1:9" ht="15" customHeight="1" x14ac:dyDescent="0.25">
      <c r="B44" s="1" t="s">
        <v>4</v>
      </c>
      <c r="C44" s="7" t="s">
        <v>2</v>
      </c>
      <c r="D44" s="6"/>
      <c r="E44" s="5">
        <v>0.04</v>
      </c>
      <c r="F44" s="5">
        <v>0.04</v>
      </c>
      <c r="G44" s="5">
        <v>0.04</v>
      </c>
      <c r="H44" s="5">
        <v>0.04</v>
      </c>
      <c r="I44" s="5">
        <v>0.04</v>
      </c>
    </row>
    <row r="45" spans="1:9" ht="15" customHeight="1" x14ac:dyDescent="0.25">
      <c r="B45" s="1" t="s">
        <v>3</v>
      </c>
      <c r="C45" s="7" t="s">
        <v>2</v>
      </c>
      <c r="D45" s="6"/>
      <c r="E45" s="5">
        <v>0.01</v>
      </c>
      <c r="F45" s="5">
        <v>0.01</v>
      </c>
      <c r="G45" s="5">
        <v>0.01</v>
      </c>
      <c r="H45" s="5">
        <v>0.01</v>
      </c>
      <c r="I45" s="5">
        <v>0.01</v>
      </c>
    </row>
    <row r="46" spans="1:9" ht="15" customHeight="1" x14ac:dyDescent="0.25">
      <c r="D46" s="4"/>
      <c r="E46" s="4"/>
      <c r="F46" s="4"/>
      <c r="G46" s="4"/>
      <c r="H46" s="4"/>
      <c r="I46" s="4"/>
    </row>
    <row r="47" spans="1:9" s="2" customFormat="1" ht="15" customHeight="1" x14ac:dyDescent="0.25">
      <c r="A47" s="3" t="s">
        <v>1</v>
      </c>
      <c r="B47" s="3" t="s">
        <v>0</v>
      </c>
    </row>
  </sheetData>
  <pageMargins left="0.7" right="0.7" top="0.75" bottom="0.75" header="0.3" footer="0.3"/>
  <pageSetup paperSize="9" scale="18" orientation="portrait" horizontalDpi="4294967293"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25D0-A2A6-4FC0-9FA4-F5A0C53D80AE}">
  <dimension ref="A1:J39"/>
  <sheetViews>
    <sheetView showGridLines="0" zoomScaleNormal="100" zoomScaleSheetLayoutView="70" workbookViewId="0">
      <pane xSplit="3" ySplit="3" topLeftCell="E24" activePane="bottomRight" state="frozenSplit"/>
      <selection pane="topRight" activeCell="C1" sqref="C1"/>
      <selection pane="bottomLeft" activeCell="A3" sqref="A3"/>
      <selection pane="bottomRight" activeCell="E28" sqref="E28:I28"/>
    </sheetView>
  </sheetViews>
  <sheetFormatPr defaultColWidth="20.6640625" defaultRowHeight="15" customHeight="1" outlineLevelCol="1" x14ac:dyDescent="0.25"/>
  <cols>
    <col min="1" max="1" width="2.6640625" style="1" customWidth="1"/>
    <col min="2" max="2" width="36" style="1" bestFit="1" customWidth="1"/>
    <col min="3" max="3" width="23.33203125" style="1" bestFit="1" customWidth="1"/>
    <col min="4" max="4" width="23.33203125" style="1" hidden="1" customWidth="1" outlineLevel="1"/>
    <col min="5" max="5" width="23.33203125" style="1" bestFit="1" customWidth="1" collapsed="1"/>
    <col min="6" max="9" width="23.33203125" style="1" bestFit="1" customWidth="1"/>
    <col min="10" max="10" width="1.6640625" style="1" customWidth="1"/>
    <col min="11" max="16384" width="20.6640625" style="1"/>
  </cols>
  <sheetData>
    <row r="1" spans="2:9" s="19" customFormat="1" ht="35.25" customHeight="1" x14ac:dyDescent="0.3">
      <c r="B1" s="20" t="s">
        <v>35</v>
      </c>
      <c r="C1" s="3"/>
      <c r="D1" s="3"/>
      <c r="E1" s="3"/>
    </row>
    <row r="3" spans="2:9" ht="15" customHeight="1" x14ac:dyDescent="0.25">
      <c r="B3" s="18" t="s">
        <v>33</v>
      </c>
      <c r="C3" s="17" t="s">
        <v>32</v>
      </c>
      <c r="D3" s="16">
        <v>43830</v>
      </c>
      <c r="E3" s="15">
        <f>EOMONTH(D3,12)</f>
        <v>44196</v>
      </c>
      <c r="F3" s="15">
        <f>EOMONTH(E3,12)</f>
        <v>44561</v>
      </c>
      <c r="G3" s="15">
        <f>EOMONTH(F3,12)</f>
        <v>44926</v>
      </c>
      <c r="H3" s="15">
        <f>EOMONTH(G3,12)</f>
        <v>45291</v>
      </c>
      <c r="I3" s="15">
        <f>EOMONTH(H3,12)</f>
        <v>45657</v>
      </c>
    </row>
    <row r="4" spans="2:9" ht="15" customHeight="1" x14ac:dyDescent="0.25">
      <c r="D4" s="4"/>
      <c r="E4" s="4"/>
      <c r="F4" s="4"/>
      <c r="G4" s="4"/>
      <c r="H4" s="4"/>
      <c r="I4" s="4"/>
    </row>
    <row r="5" spans="2:9" ht="15" customHeight="1" x14ac:dyDescent="0.25">
      <c r="B5" s="21" t="s">
        <v>36</v>
      </c>
      <c r="C5" s="22" t="s">
        <v>14</v>
      </c>
      <c r="E5" s="23">
        <f>'[1]Forecast Assumptions'!E8*'[1]Forecast Assumptions'!E9</f>
        <v>400000</v>
      </c>
      <c r="F5" s="23">
        <f>'[1]Forecast Assumptions'!F8*'[1]Forecast Assumptions'!F9</f>
        <v>457600.00000000006</v>
      </c>
      <c r="G5" s="23">
        <f>'[1]Forecast Assumptions'!G8*'[1]Forecast Assumptions'!G9</f>
        <v>518735.36000000016</v>
      </c>
      <c r="H5" s="23">
        <f>'[1]Forecast Assumptions'!H8*'[1]Forecast Assumptions'!H9</f>
        <v>582643.55635200022</v>
      </c>
      <c r="I5" s="23">
        <f>'[1]Forecast Assumptions'!I8*'[1]Forecast Assumptions'!I9</f>
        <v>648365.74950850604</v>
      </c>
    </row>
    <row r="6" spans="2:9" ht="15" customHeight="1" x14ac:dyDescent="0.25">
      <c r="B6" s="21" t="s">
        <v>37</v>
      </c>
      <c r="C6" s="22" t="s">
        <v>14</v>
      </c>
      <c r="E6" s="23">
        <f>'[1]Forecast Assumptions'!E12*'[1]Forecast Assumptions'!E13</f>
        <v>180000</v>
      </c>
      <c r="F6" s="23">
        <f>'[1]Forecast Assumptions'!F12*'[1]Forecast Assumptions'!F13</f>
        <v>205920</v>
      </c>
      <c r="G6" s="23">
        <f>'[1]Forecast Assumptions'!G12*'[1]Forecast Assumptions'!G13</f>
        <v>233430.91200000001</v>
      </c>
      <c r="H6" s="23">
        <f>'[1]Forecast Assumptions'!H12*'[1]Forecast Assumptions'!H13</f>
        <v>262189.60035840009</v>
      </c>
      <c r="I6" s="23">
        <f>'[1]Forecast Assumptions'!I12*'[1]Forecast Assumptions'!I13</f>
        <v>291764.58727882762</v>
      </c>
    </row>
    <row r="7" spans="2:9" ht="15" customHeight="1" x14ac:dyDescent="0.25">
      <c r="B7" s="21" t="s">
        <v>38</v>
      </c>
      <c r="C7" s="22" t="s">
        <v>14</v>
      </c>
      <c r="E7" s="23">
        <f>'[1]Forecast Assumptions'!E16*'[1]Forecast Assumptions'!E17</f>
        <v>125000</v>
      </c>
      <c r="F7" s="23">
        <f>'[1]Forecast Assumptions'!F16*'[1]Forecast Assumptions'!F17</f>
        <v>143000.00000000003</v>
      </c>
      <c r="G7" s="23">
        <f>'[1]Forecast Assumptions'!G16*'[1]Forecast Assumptions'!G17</f>
        <v>162104.80000000005</v>
      </c>
      <c r="H7" s="23">
        <f>'[1]Forecast Assumptions'!H16*'[1]Forecast Assumptions'!H17</f>
        <v>182076.1113600001</v>
      </c>
      <c r="I7" s="23">
        <f>'[1]Forecast Assumptions'!I16*'[1]Forecast Assumptions'!I17</f>
        <v>202614.29672140814</v>
      </c>
    </row>
    <row r="8" spans="2:9" ht="15" customHeight="1" x14ac:dyDescent="0.25">
      <c r="B8" s="24" t="s">
        <v>39</v>
      </c>
      <c r="C8" s="25" t="s">
        <v>14</v>
      </c>
      <c r="D8" s="26"/>
      <c r="E8" s="27">
        <f>SUM(E5:E7)</f>
        <v>705000</v>
      </c>
      <c r="F8" s="28">
        <f>SUM(F5:F7)</f>
        <v>806520</v>
      </c>
      <c r="G8" s="28">
        <f>SUM(G5:G7)</f>
        <v>914271.07200000016</v>
      </c>
      <c r="H8" s="28">
        <f>SUM(H5:H7)</f>
        <v>1026909.2680704003</v>
      </c>
      <c r="I8" s="28">
        <f>SUM(I5:I7)</f>
        <v>1142744.6335087419</v>
      </c>
    </row>
    <row r="9" spans="2:9" ht="15" customHeight="1" x14ac:dyDescent="0.25">
      <c r="B9" s="29" t="s">
        <v>40</v>
      </c>
      <c r="C9" s="7" t="s">
        <v>2</v>
      </c>
      <c r="E9" s="30"/>
      <c r="F9" s="31">
        <f>F8/E8-1</f>
        <v>0.14399999999999991</v>
      </c>
      <c r="G9" s="31">
        <f>G8/F8-1</f>
        <v>0.13360000000000016</v>
      </c>
      <c r="H9" s="31">
        <f>H8/G8-1</f>
        <v>0.1232000000000002</v>
      </c>
      <c r="I9" s="31">
        <f>I8/H8-1</f>
        <v>0.11280000000000023</v>
      </c>
    </row>
    <row r="11" spans="2:9" ht="15" customHeight="1" x14ac:dyDescent="0.25">
      <c r="B11" s="21" t="s">
        <v>41</v>
      </c>
      <c r="C11" s="22" t="s">
        <v>14</v>
      </c>
      <c r="E11" s="23">
        <f>-'[1]Forecast Assumptions'!E8*'[1]Forecast Assumptions'!E22</f>
        <v>-150000</v>
      </c>
      <c r="F11" s="23">
        <f>-'[1]Forecast Assumptions'!F8*'[1]Forecast Assumptions'!F22</f>
        <v>-168300.00000000003</v>
      </c>
      <c r="G11" s="23">
        <f>-'[1]Forecast Assumptions'!G8*'[1]Forecast Assumptions'!G22</f>
        <v>-187115.94000000003</v>
      </c>
      <c r="H11" s="23">
        <f>-'[1]Forecast Assumptions'!H8*'[1]Forecast Assumptions'!H22</f>
        <v>-206126.91950400008</v>
      </c>
      <c r="I11" s="23">
        <f>-'[1]Forecast Assumptions'!I8*'[1]Forecast Assumptions'!I22</f>
        <v>-224966.9199466657</v>
      </c>
    </row>
    <row r="12" spans="2:9" ht="15" customHeight="1" x14ac:dyDescent="0.25">
      <c r="B12" s="21" t="s">
        <v>42</v>
      </c>
      <c r="C12" s="22" t="s">
        <v>14</v>
      </c>
      <c r="E12" s="23">
        <f>-'[1]Forecast Assumptions'!E12*'[1]Forecast Assumptions'!E23</f>
        <v>-48000</v>
      </c>
      <c r="F12" s="23">
        <f>-'[1]Forecast Assumptions'!F12*'[1]Forecast Assumptions'!F23</f>
        <v>-53856.000000000007</v>
      </c>
      <c r="G12" s="23">
        <f>-'[1]Forecast Assumptions'!G12*'[1]Forecast Assumptions'!G23</f>
        <v>-59877.100800000007</v>
      </c>
      <c r="H12" s="23">
        <f>-'[1]Forecast Assumptions'!H12*'[1]Forecast Assumptions'!H23</f>
        <v>-65960.614241280025</v>
      </c>
      <c r="I12" s="23">
        <f>-'[1]Forecast Assumptions'!I12*'[1]Forecast Assumptions'!I23</f>
        <v>-71989.414382933013</v>
      </c>
    </row>
    <row r="13" spans="2:9" ht="15" customHeight="1" x14ac:dyDescent="0.25">
      <c r="B13" s="21" t="s">
        <v>43</v>
      </c>
      <c r="C13" s="22" t="s">
        <v>14</v>
      </c>
      <c r="E13" s="23">
        <f>-'[1]Forecast Assumptions'!E16*'[1]Forecast Assumptions'!E24</f>
        <v>-55000.000000000007</v>
      </c>
      <c r="F13" s="23">
        <f>-'[1]Forecast Assumptions'!F16*'[1]Forecast Assumptions'!F24</f>
        <v>-61710.000000000015</v>
      </c>
      <c r="G13" s="23">
        <f>-'[1]Forecast Assumptions'!G16*'[1]Forecast Assumptions'!G24</f>
        <v>-68609.178000000029</v>
      </c>
      <c r="H13" s="23">
        <f>-'[1]Forecast Assumptions'!H16*'[1]Forecast Assumptions'!H24</f>
        <v>-75579.870484800034</v>
      </c>
      <c r="I13" s="23">
        <f>-'[1]Forecast Assumptions'!I16*'[1]Forecast Assumptions'!I24</f>
        <v>-82487.870647110773</v>
      </c>
    </row>
    <row r="14" spans="2:9" ht="15" customHeight="1" x14ac:dyDescent="0.25">
      <c r="B14" s="24" t="s">
        <v>44</v>
      </c>
      <c r="C14" s="25" t="s">
        <v>14</v>
      </c>
      <c r="D14" s="26"/>
      <c r="E14" s="28">
        <f>SUM(E8,E11:E13)</f>
        <v>452000</v>
      </c>
      <c r="F14" s="28">
        <f>SUM(F8,F11:F13)</f>
        <v>522654</v>
      </c>
      <c r="G14" s="28">
        <f>SUM(G8,G11:G13)</f>
        <v>598668.85320000001</v>
      </c>
      <c r="H14" s="28">
        <f>SUM(H8,H11:H13)</f>
        <v>679241.86384032015</v>
      </c>
      <c r="I14" s="28">
        <f>SUM(I8,I11:I13)</f>
        <v>763300.42853203241</v>
      </c>
    </row>
    <row r="15" spans="2:9" ht="15" customHeight="1" x14ac:dyDescent="0.25">
      <c r="B15" s="29" t="s">
        <v>45</v>
      </c>
      <c r="C15" s="7" t="s">
        <v>2</v>
      </c>
      <c r="E15" s="31">
        <f>E14/E$8</f>
        <v>0.64113475177304968</v>
      </c>
      <c r="F15" s="31">
        <f>F14/F$8</f>
        <v>0.64803600654664484</v>
      </c>
      <c r="G15" s="31">
        <f>G14/G$8</f>
        <v>0.65480454488228623</v>
      </c>
      <c r="H15" s="31">
        <f>H14/H$8</f>
        <v>0.6614429190191653</v>
      </c>
      <c r="I15" s="31">
        <f>I14/I$8</f>
        <v>0.66795363211495073</v>
      </c>
    </row>
    <row r="17" spans="2:10" ht="15" customHeight="1" x14ac:dyDescent="0.25">
      <c r="B17" s="21" t="s">
        <v>18</v>
      </c>
      <c r="C17" s="22" t="s">
        <v>14</v>
      </c>
      <c r="E17" s="23">
        <f>-'[1]Forecast Assumptions'!E27</f>
        <v>-150000</v>
      </c>
      <c r="F17" s="23">
        <f>-'[1]Forecast Assumptions'!F27</f>
        <v>-157500</v>
      </c>
      <c r="G17" s="23">
        <f>-'[1]Forecast Assumptions'!G27</f>
        <v>-165375</v>
      </c>
      <c r="H17" s="23">
        <f>-'[1]Forecast Assumptions'!H27</f>
        <v>-173643.75</v>
      </c>
      <c r="I17" s="23">
        <f>-'[1]Forecast Assumptions'!I27</f>
        <v>-182325.9375</v>
      </c>
    </row>
    <row r="18" spans="2:10" ht="15" customHeight="1" x14ac:dyDescent="0.25">
      <c r="B18" s="21" t="s">
        <v>17</v>
      </c>
      <c r="C18" s="22" t="s">
        <v>14</v>
      </c>
      <c r="E18" s="23">
        <f>-'[1]Forecast Assumptions'!E28</f>
        <v>-60000</v>
      </c>
      <c r="F18" s="23">
        <f>-'[1]Forecast Assumptions'!F28</f>
        <v>-61800</v>
      </c>
      <c r="G18" s="23">
        <f>-'[1]Forecast Assumptions'!G28</f>
        <v>-63654</v>
      </c>
      <c r="H18" s="23">
        <f>-'[1]Forecast Assumptions'!H28</f>
        <v>-65563.62</v>
      </c>
      <c r="I18" s="23">
        <f>-'[1]Forecast Assumptions'!I28</f>
        <v>-67530.528599999991</v>
      </c>
    </row>
    <row r="19" spans="2:10" ht="15" customHeight="1" x14ac:dyDescent="0.25">
      <c r="B19" s="21" t="s">
        <v>16</v>
      </c>
      <c r="C19" s="22" t="s">
        <v>14</v>
      </c>
      <c r="E19" s="23">
        <f>-'[1]Forecast Assumptions'!E29</f>
        <v>-10000</v>
      </c>
      <c r="F19" s="23">
        <f>-'[1]Forecast Assumptions'!F29</f>
        <v>-10500</v>
      </c>
      <c r="G19" s="23">
        <f>-'[1]Forecast Assumptions'!G29</f>
        <v>-11025</v>
      </c>
      <c r="H19" s="23">
        <f>-'[1]Forecast Assumptions'!H29</f>
        <v>-11576.25</v>
      </c>
      <c r="I19" s="23">
        <f>-'[1]Forecast Assumptions'!I29</f>
        <v>-12155.0625</v>
      </c>
    </row>
    <row r="20" spans="2:10" ht="15" customHeight="1" x14ac:dyDescent="0.25">
      <c r="B20" s="21" t="s">
        <v>15</v>
      </c>
      <c r="C20" s="22" t="s">
        <v>14</v>
      </c>
      <c r="E20" s="23">
        <f>-'[1]Forecast Assumptions'!E30</f>
        <v>-5000</v>
      </c>
      <c r="F20" s="23">
        <f>-'[1]Forecast Assumptions'!F30</f>
        <v>-5250</v>
      </c>
      <c r="G20" s="23">
        <f>-'[1]Forecast Assumptions'!G30</f>
        <v>-5512.5</v>
      </c>
      <c r="H20" s="23">
        <f>-'[1]Forecast Assumptions'!H30</f>
        <v>-5788.125</v>
      </c>
      <c r="I20" s="23">
        <f>-'[1]Forecast Assumptions'!I30</f>
        <v>-6077.53125</v>
      </c>
    </row>
    <row r="21" spans="2:10" ht="15" customHeight="1" x14ac:dyDescent="0.25">
      <c r="B21" s="24" t="s">
        <v>46</v>
      </c>
      <c r="C21" s="25" t="s">
        <v>14</v>
      </c>
      <c r="D21" s="26"/>
      <c r="E21" s="28">
        <f>SUM(E14,E17:E20)</f>
        <v>227000</v>
      </c>
      <c r="F21" s="28">
        <f>SUM(F14,F17:F20)</f>
        <v>287604</v>
      </c>
      <c r="G21" s="28">
        <f>SUM(G14,G17:G20)</f>
        <v>353102.35320000001</v>
      </c>
      <c r="H21" s="28">
        <f>SUM(H14,H17:H20)</f>
        <v>422670.11884032015</v>
      </c>
      <c r="I21" s="28">
        <f>SUM(I14,I17:I20)</f>
        <v>495211.36868203245</v>
      </c>
    </row>
    <row r="22" spans="2:10" ht="15" customHeight="1" x14ac:dyDescent="0.25">
      <c r="B22" s="29" t="s">
        <v>45</v>
      </c>
      <c r="C22" s="7" t="s">
        <v>2</v>
      </c>
      <c r="E22" s="31">
        <f>E21/E$8</f>
        <v>0.3219858156028369</v>
      </c>
      <c r="F22" s="31">
        <f>F21/F$8</f>
        <v>0.35659872042850765</v>
      </c>
      <c r="G22" s="31">
        <f>G21/G$8</f>
        <v>0.38621188399582213</v>
      </c>
      <c r="H22" s="31">
        <f>H21/H$8</f>
        <v>0.41159441440676897</v>
      </c>
      <c r="I22" s="31">
        <f>I21/I$8</f>
        <v>0.43335260928901498</v>
      </c>
    </row>
    <row r="24" spans="2:10" ht="15" customHeight="1" x14ac:dyDescent="0.25">
      <c r="B24" s="21" t="s">
        <v>47</v>
      </c>
      <c r="C24" s="22" t="s">
        <v>14</v>
      </c>
      <c r="E24" s="23">
        <f>'[1]Forecast Assumptions'!E33*E8</f>
        <v>-35250</v>
      </c>
      <c r="F24" s="23">
        <f>'[1]Forecast Assumptions'!F33*F8</f>
        <v>-38309.699999999997</v>
      </c>
      <c r="G24" s="23">
        <f>'[1]Forecast Assumptions'!G33*G8</f>
        <v>-41142.198240000005</v>
      </c>
      <c r="H24" s="23">
        <f>'[1]Forecast Assumptions'!H33*H8</f>
        <v>-43643.643892992011</v>
      </c>
      <c r="I24" s="23">
        <f>'[1]Forecast Assumptions'!I33*I8</f>
        <v>-45709.78534034967</v>
      </c>
      <c r="J24" s="21"/>
    </row>
    <row r="25" spans="2:10" ht="15" customHeight="1" x14ac:dyDescent="0.25">
      <c r="B25" s="24" t="s">
        <v>48</v>
      </c>
      <c r="C25" s="25" t="s">
        <v>14</v>
      </c>
      <c r="D25" s="26"/>
      <c r="E25" s="28">
        <f>SUM(E21,E24)</f>
        <v>191750</v>
      </c>
      <c r="F25" s="28">
        <f>SUM(F21,F24)</f>
        <v>249294.3</v>
      </c>
      <c r="G25" s="28">
        <f>SUM(G21,G24)</f>
        <v>311960.15496000001</v>
      </c>
      <c r="H25" s="28">
        <f>SUM(H21,H24)</f>
        <v>379026.47494732816</v>
      </c>
      <c r="I25" s="28">
        <f>SUM(I21,I24)</f>
        <v>449501.5833416828</v>
      </c>
      <c r="J25" s="21"/>
    </row>
    <row r="26" spans="2:10" ht="15" customHeight="1" x14ac:dyDescent="0.25">
      <c r="B26" s="29" t="s">
        <v>45</v>
      </c>
      <c r="C26" s="7" t="s">
        <v>2</v>
      </c>
      <c r="E26" s="31">
        <f>E25/E$8</f>
        <v>0.27198581560283686</v>
      </c>
      <c r="F26" s="31">
        <f>F25/F$8</f>
        <v>0.30909872042850767</v>
      </c>
      <c r="G26" s="31">
        <f>G25/G$8</f>
        <v>0.34121188399582214</v>
      </c>
      <c r="H26" s="31">
        <f>H25/H$8</f>
        <v>0.36909441440676899</v>
      </c>
      <c r="I26" s="31">
        <f>I25/I$8</f>
        <v>0.393352609289015</v>
      </c>
      <c r="J26" s="21"/>
    </row>
    <row r="28" spans="2:10" ht="15" customHeight="1" x14ac:dyDescent="0.25">
      <c r="B28" s="1" t="s">
        <v>49</v>
      </c>
      <c r="C28" s="7" t="s">
        <v>14</v>
      </c>
      <c r="E28" s="23">
        <f>'Cash Flow Forecast'!E10</f>
        <v>-15850</v>
      </c>
      <c r="F28" s="23">
        <f>'Cash Flow Forecast'!F10</f>
        <v>-13908.624</v>
      </c>
      <c r="G28" s="23">
        <f>'Cash Flow Forecast'!G10</f>
        <v>-11255.957055359997</v>
      </c>
      <c r="H28" s="23">
        <f>'Cash Flow Forecast'!H10</f>
        <v>-7820.7644226453458</v>
      </c>
      <c r="I28" s="23">
        <f>'Cash Flow Forecast'!I10</f>
        <v>-3539.4879488415163</v>
      </c>
    </row>
    <row r="29" spans="2:10" ht="15" customHeight="1" x14ac:dyDescent="0.25">
      <c r="B29" s="24" t="s">
        <v>50</v>
      </c>
      <c r="C29" s="25" t="s">
        <v>14</v>
      </c>
      <c r="D29" s="26"/>
      <c r="E29" s="26">
        <f>SUM(E25,E28)</f>
        <v>175900</v>
      </c>
      <c r="F29" s="26">
        <f>SUM(F25,F28)</f>
        <v>235385.67599999998</v>
      </c>
      <c r="G29" s="26">
        <f>SUM(G25,G28)</f>
        <v>300704.19790463999</v>
      </c>
      <c r="H29" s="26">
        <f>SUM(H25,H28)</f>
        <v>371205.71052468283</v>
      </c>
      <c r="I29" s="26">
        <f>SUM(I25,I28)</f>
        <v>445962.09539284126</v>
      </c>
    </row>
    <row r="30" spans="2:10" ht="15" customHeight="1" x14ac:dyDescent="0.25">
      <c r="B30" s="29" t="s">
        <v>45</v>
      </c>
      <c r="C30" s="7" t="s">
        <v>2</v>
      </c>
      <c r="E30" s="30">
        <f>E29/E$8</f>
        <v>0.24950354609929079</v>
      </c>
      <c r="F30" s="30">
        <f>F29/F$8</f>
        <v>0.29185348906412734</v>
      </c>
      <c r="G30" s="30">
        <f>G29/G$8</f>
        <v>0.32890048379944797</v>
      </c>
      <c r="H30" s="30">
        <f>H29/H$8</f>
        <v>0.36147858634306784</v>
      </c>
      <c r="I30" s="30">
        <f>I29/I$8</f>
        <v>0.39025525241237524</v>
      </c>
    </row>
    <row r="32" spans="2:10" ht="15" customHeight="1" x14ac:dyDescent="0.25">
      <c r="B32" s="21" t="s">
        <v>51</v>
      </c>
      <c r="C32" s="22" t="s">
        <v>14</v>
      </c>
      <c r="E32" s="23">
        <f>-'[1]Forecast Assumptions'!E43*'P&amp;L Forecast'!E29</f>
        <v>-36939</v>
      </c>
      <c r="F32" s="23">
        <f>-'[1]Forecast Assumptions'!F43*'P&amp;L Forecast'!F29</f>
        <v>-49430.991959999992</v>
      </c>
      <c r="G32" s="23">
        <f>-'[1]Forecast Assumptions'!G43*'P&amp;L Forecast'!G29</f>
        <v>-63147.881559974398</v>
      </c>
      <c r="H32" s="23">
        <f>-'[1]Forecast Assumptions'!H43*'P&amp;L Forecast'!H29</f>
        <v>-77953.199210183389</v>
      </c>
      <c r="I32" s="23">
        <f>-'[1]Forecast Assumptions'!I43*'P&amp;L Forecast'!I29</f>
        <v>-93652.040032496661</v>
      </c>
    </row>
    <row r="33" spans="1:9" ht="15" customHeight="1" x14ac:dyDescent="0.25">
      <c r="B33" s="24" t="s">
        <v>52</v>
      </c>
      <c r="C33" s="25" t="s">
        <v>14</v>
      </c>
      <c r="D33" s="26"/>
      <c r="E33" s="28">
        <f>SUM(E29,E32)</f>
        <v>138961</v>
      </c>
      <c r="F33" s="28">
        <f>SUM(F29,F32)</f>
        <v>185954.68403999999</v>
      </c>
      <c r="G33" s="28">
        <f>SUM(G29,G32)</f>
        <v>237556.3163446656</v>
      </c>
      <c r="H33" s="28">
        <f>SUM(H29,H32)</f>
        <v>293252.51131449942</v>
      </c>
      <c r="I33" s="28">
        <f>SUM(I29,I32)</f>
        <v>352310.05536034459</v>
      </c>
    </row>
    <row r="34" spans="1:9" ht="15" customHeight="1" x14ac:dyDescent="0.25">
      <c r="B34" s="29" t="s">
        <v>45</v>
      </c>
      <c r="C34" s="7" t="s">
        <v>2</v>
      </c>
      <c r="E34" s="31">
        <f>E33/E$8</f>
        <v>0.19710780141843973</v>
      </c>
      <c r="F34" s="31">
        <f>F33/F$8</f>
        <v>0.23056425636066061</v>
      </c>
      <c r="G34" s="31">
        <f>G33/G$8</f>
        <v>0.25983138220156393</v>
      </c>
      <c r="H34" s="31">
        <f>H33/H$8</f>
        <v>0.28556808321102362</v>
      </c>
      <c r="I34" s="31">
        <f>I33/I$8</f>
        <v>0.30830164940577642</v>
      </c>
    </row>
    <row r="36" spans="1:9" ht="15" customHeight="1" x14ac:dyDescent="0.25">
      <c r="B36" s="21" t="s">
        <v>7</v>
      </c>
      <c r="C36" s="22" t="s">
        <v>2</v>
      </c>
      <c r="E36" s="32">
        <f>'[1]Forecast Assumptions'!E39</f>
        <v>0.6</v>
      </c>
      <c r="F36" s="32">
        <f>'[1]Forecast Assumptions'!F39</f>
        <v>0.6</v>
      </c>
      <c r="G36" s="32">
        <f>'[1]Forecast Assumptions'!G39</f>
        <v>0.6</v>
      </c>
      <c r="H36" s="32">
        <f>'[1]Forecast Assumptions'!H39</f>
        <v>0.6</v>
      </c>
      <c r="I36" s="32">
        <f>'[1]Forecast Assumptions'!I39</f>
        <v>0.6</v>
      </c>
    </row>
    <row r="37" spans="1:9" ht="15" customHeight="1" x14ac:dyDescent="0.25">
      <c r="B37" s="24" t="s">
        <v>53</v>
      </c>
      <c r="C37" s="25" t="s">
        <v>14</v>
      </c>
      <c r="D37" s="26"/>
      <c r="E37" s="28">
        <f>E33*E36</f>
        <v>83376.599999999991</v>
      </c>
      <c r="F37" s="28">
        <f>F33*F36</f>
        <v>111572.810424</v>
      </c>
      <c r="G37" s="28">
        <f>G33*G36</f>
        <v>142533.78980679935</v>
      </c>
      <c r="H37" s="28">
        <f>H33*H36</f>
        <v>175951.50678869965</v>
      </c>
      <c r="I37" s="28">
        <f>I33*I36</f>
        <v>211386.03321620674</v>
      </c>
    </row>
    <row r="38" spans="1:9" ht="15" customHeight="1" x14ac:dyDescent="0.25">
      <c r="D38" s="4"/>
      <c r="E38" s="4"/>
      <c r="F38" s="4"/>
      <c r="G38" s="4"/>
      <c r="H38" s="4"/>
      <c r="I38" s="4"/>
    </row>
    <row r="39" spans="1:9" s="2" customFormat="1" ht="15" customHeight="1" x14ac:dyDescent="0.25">
      <c r="A39" s="3" t="s">
        <v>1</v>
      </c>
      <c r="B39" s="3" t="s">
        <v>0</v>
      </c>
    </row>
  </sheetData>
  <pageMargins left="0.7" right="0.7" top="0.75" bottom="0.75" header="0.3" footer="0.3"/>
  <pageSetup paperSize="9" scale="18" orientation="portrait" horizontalDpi="4294967293"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68E03-BEE3-42B4-897F-C4C1AE78E163}">
  <dimension ref="A1:I25"/>
  <sheetViews>
    <sheetView showGridLines="0" zoomScaleNormal="100" zoomScaleSheetLayoutView="70" workbookViewId="0">
      <pane xSplit="3" ySplit="3" topLeftCell="D4" activePane="bottomRight" state="frozenSplit"/>
      <selection pane="topRight" activeCell="C1" sqref="C1"/>
      <selection pane="bottomLeft" activeCell="A3" sqref="A3"/>
      <selection pane="bottomRight" activeCell="I12" sqref="I12"/>
    </sheetView>
  </sheetViews>
  <sheetFormatPr defaultColWidth="20.6640625" defaultRowHeight="15" customHeight="1" outlineLevelCol="1" x14ac:dyDescent="0.25"/>
  <cols>
    <col min="1" max="1" width="2.6640625" style="1" customWidth="1"/>
    <col min="2" max="2" width="36" style="1" bestFit="1" customWidth="1"/>
    <col min="3" max="3" width="23.33203125" style="1" bestFit="1" customWidth="1"/>
    <col min="4" max="4" width="23.33203125" style="1" customWidth="1" outlineLevel="1"/>
    <col min="5" max="9" width="23.33203125" style="1" bestFit="1" customWidth="1"/>
    <col min="10" max="10" width="1.6640625" style="1" customWidth="1"/>
    <col min="11" max="16384" width="20.6640625" style="1"/>
  </cols>
  <sheetData>
    <row r="1" spans="2:9" s="19" customFormat="1" ht="35.25" customHeight="1" x14ac:dyDescent="0.3">
      <c r="B1" s="20" t="s">
        <v>65</v>
      </c>
      <c r="C1" s="3"/>
      <c r="D1" s="3"/>
      <c r="E1" s="3"/>
    </row>
    <row r="3" spans="2:9" ht="15" customHeight="1" x14ac:dyDescent="0.25">
      <c r="B3" s="18" t="s">
        <v>33</v>
      </c>
      <c r="C3" s="17" t="s">
        <v>32</v>
      </c>
      <c r="D3" s="16">
        <v>43830</v>
      </c>
      <c r="E3" s="15">
        <f>EOMONTH(D3,12)</f>
        <v>44196</v>
      </c>
      <c r="F3" s="15">
        <f>EOMONTH(E3,12)</f>
        <v>44561</v>
      </c>
      <c r="G3" s="15">
        <f>EOMONTH(F3,12)</f>
        <v>44926</v>
      </c>
      <c r="H3" s="15">
        <f>EOMONTH(G3,12)</f>
        <v>45291</v>
      </c>
      <c r="I3" s="15">
        <f>EOMONTH(H3,12)</f>
        <v>45657</v>
      </c>
    </row>
    <row r="4" spans="2:9" ht="15" customHeight="1" x14ac:dyDescent="0.25">
      <c r="D4" s="4"/>
      <c r="E4" s="4"/>
      <c r="F4" s="4"/>
      <c r="G4" s="4"/>
      <c r="H4" s="4"/>
      <c r="I4" s="4"/>
    </row>
    <row r="5" spans="2:9" ht="15" customHeight="1" x14ac:dyDescent="0.25">
      <c r="B5" s="21" t="s">
        <v>46</v>
      </c>
      <c r="C5" s="22" t="s">
        <v>14</v>
      </c>
      <c r="E5" s="23">
        <v>227000</v>
      </c>
      <c r="F5" s="23">
        <v>287604</v>
      </c>
      <c r="G5" s="23">
        <v>353102.35320000001</v>
      </c>
      <c r="H5" s="23">
        <v>422670.11884032015</v>
      </c>
      <c r="I5" s="23">
        <v>495211.36868203245</v>
      </c>
    </row>
    <row r="6" spans="2:9" ht="15" customHeight="1" x14ac:dyDescent="0.25">
      <c r="B6" s="21" t="s">
        <v>51</v>
      </c>
      <c r="C6" s="22" t="s">
        <v>14</v>
      </c>
      <c r="E6" s="23">
        <f>'[1]P&amp;L Forecast'!E32</f>
        <v>-36939</v>
      </c>
      <c r="F6" s="23">
        <f>'[1]P&amp;L Forecast'!F32</f>
        <v>-49430.991959999992</v>
      </c>
      <c r="G6" s="23">
        <f>'[1]P&amp;L Forecast'!G32</f>
        <v>-63147.881559974398</v>
      </c>
      <c r="H6" s="23">
        <f>'[1]P&amp;L Forecast'!H32</f>
        <v>-77953.199210183389</v>
      </c>
      <c r="I6" s="23">
        <f>'[1]P&amp;L Forecast'!I32</f>
        <v>-93652.040032496661</v>
      </c>
    </row>
    <row r="7" spans="2:9" ht="15" customHeight="1" x14ac:dyDescent="0.25">
      <c r="B7" s="21" t="s">
        <v>64</v>
      </c>
      <c r="C7" s="22" t="s">
        <v>14</v>
      </c>
      <c r="E7" s="38">
        <f>'[1]P&amp;L Forecast'!E8*'[1]Forecast Assumptions'!E38</f>
        <v>-7050</v>
      </c>
      <c r="F7" s="38">
        <f>'[1]P&amp;L Forecast'!F8*'[1]Forecast Assumptions'!F38</f>
        <v>-8065.2</v>
      </c>
      <c r="G7" s="38">
        <f>'[1]P&amp;L Forecast'!G8*'[1]Forecast Assumptions'!G38</f>
        <v>-9142.7107200000009</v>
      </c>
      <c r="H7" s="38">
        <f>'[1]P&amp;L Forecast'!H8*'[1]Forecast Assumptions'!H38</f>
        <v>-10269.092680704003</v>
      </c>
      <c r="I7" s="38">
        <f>'[1]P&amp;L Forecast'!I8*'[1]Forecast Assumptions'!I38</f>
        <v>-11427.446335087419</v>
      </c>
    </row>
    <row r="8" spans="2:9" ht="15" customHeight="1" x14ac:dyDescent="0.25">
      <c r="B8" s="21" t="s">
        <v>63</v>
      </c>
      <c r="C8" s="22" t="s">
        <v>14</v>
      </c>
      <c r="E8" s="23">
        <f>'[1]P&amp;L Forecast'!E8*'[1]Forecast Assumptions'!E37</f>
        <v>-35250</v>
      </c>
      <c r="F8" s="23">
        <f>'[1]P&amp;L Forecast'!F8*'[1]Forecast Assumptions'!F37</f>
        <v>-38309.699999999997</v>
      </c>
      <c r="G8" s="23">
        <f>'[1]P&amp;L Forecast'!G8*'[1]Forecast Assumptions'!G37</f>
        <v>-41142.198240000005</v>
      </c>
      <c r="H8" s="23">
        <f>'[1]P&amp;L Forecast'!H8*'[1]Forecast Assumptions'!H37</f>
        <v>-43643.643892992011</v>
      </c>
      <c r="I8" s="23">
        <f>'[1]P&amp;L Forecast'!I8*'[1]Forecast Assumptions'!I37</f>
        <v>-45709.78534034967</v>
      </c>
    </row>
    <row r="9" spans="2:9" ht="15" customHeight="1" x14ac:dyDescent="0.25">
      <c r="B9" s="21" t="s">
        <v>62</v>
      </c>
      <c r="C9" s="22" t="s">
        <v>14</v>
      </c>
      <c r="E9" s="38">
        <f>'[1]P&amp;L Forecast'!E37*-1</f>
        <v>-83376.599999999991</v>
      </c>
      <c r="F9" s="38">
        <f>'[1]P&amp;L Forecast'!F37*-1</f>
        <v>-111572.810424</v>
      </c>
      <c r="G9" s="38">
        <f>'[1]P&amp;L Forecast'!G37*-1</f>
        <v>-142533.78980679935</v>
      </c>
      <c r="H9" s="38">
        <f>'[1]P&amp;L Forecast'!H37*-1</f>
        <v>-175951.50678869965</v>
      </c>
      <c r="I9" s="38">
        <f>'[1]P&amp;L Forecast'!I37*-1</f>
        <v>-211386.03321620674</v>
      </c>
    </row>
    <row r="10" spans="2:9" ht="15" customHeight="1" x14ac:dyDescent="0.25">
      <c r="B10" s="21" t="s">
        <v>49</v>
      </c>
      <c r="C10" s="22" t="s">
        <v>14</v>
      </c>
      <c r="E10" s="23">
        <f>-1*(E21*'[1]Forecast Assumptions'!$E$44)+('Cash Flow Forecast'!E15*'[1]Forecast Assumptions'!$E$45)</f>
        <v>-15850</v>
      </c>
      <c r="F10" s="23">
        <f>-1*(F21*'[1]Forecast Assumptions'!$E$44)+('Cash Flow Forecast'!F15*'[1]Forecast Assumptions'!$E$45)</f>
        <v>-13908.624</v>
      </c>
      <c r="G10" s="23">
        <f>-1*(G21*'[1]Forecast Assumptions'!$E$44)+('Cash Flow Forecast'!G15*'[1]Forecast Assumptions'!$E$45)</f>
        <v>-11255.957055359997</v>
      </c>
      <c r="H10" s="23">
        <f>-1*(H21*'[1]Forecast Assumptions'!$E$44)+('Cash Flow Forecast'!H15*'[1]Forecast Assumptions'!$E$45)</f>
        <v>-7820.7644226453458</v>
      </c>
      <c r="I10" s="23">
        <f>-1*(I21*'[1]Forecast Assumptions'!$E$44)+('Cash Flow Forecast'!I15*'[1]Forecast Assumptions'!$E$45)</f>
        <v>-3539.4879488415163</v>
      </c>
    </row>
    <row r="11" spans="2:9" ht="15" customHeight="1" x14ac:dyDescent="0.25">
      <c r="B11" s="24" t="s">
        <v>61</v>
      </c>
      <c r="C11" s="25" t="s">
        <v>14</v>
      </c>
      <c r="D11" s="24"/>
      <c r="E11" s="33">
        <f>SUM(E5:E10)</f>
        <v>48534.400000000009</v>
      </c>
      <c r="F11" s="33">
        <f>SUM(F5:F10)</f>
        <v>66316.673616000029</v>
      </c>
      <c r="G11" s="33">
        <f>SUM(G5:G10)</f>
        <v>85879.8158178663</v>
      </c>
      <c r="H11" s="33">
        <f>SUM(H5:H10)</f>
        <v>107031.91184509573</v>
      </c>
      <c r="I11" s="33">
        <f>SUM(I5:I10)</f>
        <v>129496.57580905045</v>
      </c>
    </row>
    <row r="12" spans="2:9" ht="15" customHeight="1" x14ac:dyDescent="0.25">
      <c r="B12" s="1" t="s">
        <v>55</v>
      </c>
      <c r="C12" s="7" t="s">
        <v>14</v>
      </c>
      <c r="D12" s="37"/>
      <c r="E12" s="35">
        <f>-MIN(E11,E21)</f>
        <v>-48534.400000000009</v>
      </c>
      <c r="F12" s="35">
        <f>-MIN(F11,F21)</f>
        <v>-66316.673616000029</v>
      </c>
      <c r="G12" s="35">
        <f>-MIN(G11,G21)</f>
        <v>-85879.8158178663</v>
      </c>
      <c r="H12" s="35">
        <f>-MIN(H11,H21)</f>
        <v>-107031.91184509573</v>
      </c>
      <c r="I12" s="35">
        <f>-MIN(I11,I21)</f>
        <v>-92237.198721037901</v>
      </c>
    </row>
    <row r="13" spans="2:9" ht="15" customHeight="1" x14ac:dyDescent="0.25">
      <c r="B13" s="24" t="s">
        <v>59</v>
      </c>
      <c r="C13" s="25" t="s">
        <v>14</v>
      </c>
      <c r="D13" s="24"/>
      <c r="E13" s="36">
        <f>SUM(E11:E12)</f>
        <v>0</v>
      </c>
      <c r="F13" s="36">
        <f>SUM(F11:F12)</f>
        <v>0</v>
      </c>
      <c r="G13" s="36">
        <f>SUM(G11:G12)</f>
        <v>0</v>
      </c>
      <c r="H13" s="36">
        <f>SUM(H11:H12)</f>
        <v>0</v>
      </c>
      <c r="I13" s="36">
        <f>SUM(I11:I12)</f>
        <v>37259.377088012552</v>
      </c>
    </row>
    <row r="15" spans="2:9" ht="15" customHeight="1" x14ac:dyDescent="0.25">
      <c r="B15" s="1" t="s">
        <v>60</v>
      </c>
      <c r="C15" s="7" t="s">
        <v>14</v>
      </c>
      <c r="E15" s="35">
        <f>D17</f>
        <v>15000</v>
      </c>
      <c r="F15" s="35">
        <f>E17</f>
        <v>15000</v>
      </c>
      <c r="G15" s="35">
        <f>F17</f>
        <v>15000</v>
      </c>
      <c r="H15" s="35">
        <f>G17</f>
        <v>15000</v>
      </c>
      <c r="I15" s="35">
        <f>H17</f>
        <v>15000</v>
      </c>
    </row>
    <row r="16" spans="2:9" ht="15" customHeight="1" x14ac:dyDescent="0.25">
      <c r="B16" s="1" t="s">
        <v>59</v>
      </c>
      <c r="C16" s="7" t="s">
        <v>14</v>
      </c>
      <c r="E16" s="35"/>
      <c r="F16" s="35"/>
      <c r="G16" s="35"/>
      <c r="H16" s="35"/>
      <c r="I16" s="35"/>
    </row>
    <row r="17" spans="1:9" ht="15" customHeight="1" x14ac:dyDescent="0.25">
      <c r="B17" s="24" t="s">
        <v>58</v>
      </c>
      <c r="C17" s="25" t="s">
        <v>14</v>
      </c>
      <c r="D17" s="34">
        <v>15000</v>
      </c>
      <c r="E17" s="33">
        <f>SUM(E15:E16)</f>
        <v>15000</v>
      </c>
      <c r="F17" s="33">
        <f>SUM(F15:F16)</f>
        <v>15000</v>
      </c>
      <c r="G17" s="33">
        <f>SUM(G15:G16)</f>
        <v>15000</v>
      </c>
      <c r="H17" s="33">
        <f>SUM(H15:H16)</f>
        <v>15000</v>
      </c>
      <c r="I17" s="33">
        <f>SUM(I15:I16)</f>
        <v>15000</v>
      </c>
    </row>
    <row r="18" spans="1:9" ht="15" customHeight="1" x14ac:dyDescent="0.25">
      <c r="D18" s="4"/>
      <c r="E18" s="4"/>
      <c r="F18" s="4"/>
      <c r="G18" s="4"/>
      <c r="H18" s="4"/>
      <c r="I18" s="4"/>
    </row>
    <row r="19" spans="1:9" s="8" customFormat="1" ht="15" customHeight="1" x14ac:dyDescent="0.25">
      <c r="A19" s="10" t="s">
        <v>1</v>
      </c>
      <c r="B19" s="10" t="s">
        <v>57</v>
      </c>
      <c r="D19" s="9"/>
      <c r="E19" s="9"/>
      <c r="F19" s="9"/>
      <c r="G19" s="9"/>
      <c r="H19" s="9"/>
      <c r="I19" s="9"/>
    </row>
    <row r="20" spans="1:9" ht="15" customHeight="1" x14ac:dyDescent="0.25">
      <c r="D20" s="4"/>
      <c r="E20" s="4"/>
      <c r="F20" s="4"/>
      <c r="G20" s="4"/>
      <c r="H20" s="4"/>
      <c r="I20" s="4"/>
    </row>
    <row r="21" spans="1:9" ht="15" customHeight="1" x14ac:dyDescent="0.25">
      <c r="B21" s="1" t="s">
        <v>56</v>
      </c>
      <c r="C21" s="7" t="s">
        <v>14</v>
      </c>
      <c r="E21" s="35">
        <f>D23</f>
        <v>400000</v>
      </c>
      <c r="F21" s="35">
        <f>E23</f>
        <v>351465.6</v>
      </c>
      <c r="G21" s="35">
        <f>F23</f>
        <v>285148.92638399993</v>
      </c>
      <c r="H21" s="35">
        <f>G23</f>
        <v>199269.11056613363</v>
      </c>
      <c r="I21" s="35">
        <f>H23</f>
        <v>92237.198721037901</v>
      </c>
    </row>
    <row r="22" spans="1:9" ht="15" customHeight="1" x14ac:dyDescent="0.25">
      <c r="B22" s="1" t="s">
        <v>55</v>
      </c>
      <c r="C22" s="7" t="s">
        <v>14</v>
      </c>
      <c r="E22" s="35">
        <f>E12</f>
        <v>-48534.400000000009</v>
      </c>
      <c r="F22" s="35">
        <f>F12</f>
        <v>-66316.673616000029</v>
      </c>
      <c r="G22" s="35">
        <f>G12</f>
        <v>-85879.8158178663</v>
      </c>
      <c r="H22" s="35">
        <f>H12</f>
        <v>-107031.91184509573</v>
      </c>
      <c r="I22" s="35">
        <f>I12</f>
        <v>-92237.198721037901</v>
      </c>
    </row>
    <row r="23" spans="1:9" ht="15" customHeight="1" x14ac:dyDescent="0.25">
      <c r="B23" s="24" t="s">
        <v>54</v>
      </c>
      <c r="C23" s="25" t="s">
        <v>14</v>
      </c>
      <c r="D23" s="34">
        <v>400000</v>
      </c>
      <c r="E23" s="33">
        <f>SUM(E21:E22)</f>
        <v>351465.6</v>
      </c>
      <c r="F23" s="33">
        <f>SUM(F21:F22)</f>
        <v>285148.92638399993</v>
      </c>
      <c r="G23" s="33">
        <f>SUM(G21:G22)</f>
        <v>199269.11056613363</v>
      </c>
      <c r="H23" s="33">
        <f>SUM(H21:H22)</f>
        <v>92237.198721037901</v>
      </c>
      <c r="I23" s="33">
        <f>SUM(I21:I22)</f>
        <v>0</v>
      </c>
    </row>
    <row r="24" spans="1:9" ht="15" customHeight="1" x14ac:dyDescent="0.25">
      <c r="D24" s="4"/>
      <c r="E24" s="4"/>
      <c r="F24" s="4"/>
      <c r="G24" s="4"/>
      <c r="H24" s="4"/>
      <c r="I24" s="4"/>
    </row>
    <row r="25" spans="1:9" s="2" customFormat="1" ht="15" customHeight="1" x14ac:dyDescent="0.25">
      <c r="A25" s="3" t="s">
        <v>1</v>
      </c>
      <c r="B25" s="3" t="s">
        <v>0</v>
      </c>
    </row>
  </sheetData>
  <pageMargins left="0.7" right="0.7" top="0.75" bottom="0.75" header="0.3" footer="0.3"/>
  <pageSetup paperSize="9" scale="18" orientation="portrait" horizontalDpi="4294967293"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71875-3F13-4AC2-A07E-4EABB6041761}">
  <dimension ref="B1:H141"/>
  <sheetViews>
    <sheetView showGridLines="0" tabSelected="1" zoomScaleNormal="100" zoomScaleSheetLayoutView="85" workbookViewId="0">
      <selection activeCell="J14" sqref="J14:J15"/>
    </sheetView>
  </sheetViews>
  <sheetFormatPr defaultColWidth="20.6640625" defaultRowHeight="15" customHeight="1" x14ac:dyDescent="0.25"/>
  <cols>
    <col min="1" max="1" width="2.6640625" style="1" customWidth="1"/>
    <col min="2" max="2" width="36" style="1" bestFit="1" customWidth="1"/>
    <col min="3" max="3" width="23.33203125" style="1" bestFit="1" customWidth="1"/>
    <col min="4" max="4" width="23.33203125" style="1" customWidth="1"/>
    <col min="5" max="8" width="23.33203125" style="1" bestFit="1" customWidth="1"/>
    <col min="9" max="9" width="2.6640625" style="1" customWidth="1"/>
    <col min="10" max="16384" width="20.6640625" style="1"/>
  </cols>
  <sheetData>
    <row r="1" spans="2:8" s="19" customFormat="1" ht="35.25" customHeight="1" x14ac:dyDescent="0.3">
      <c r="B1" s="20" t="s">
        <v>66</v>
      </c>
      <c r="C1" s="3"/>
      <c r="D1" s="3"/>
      <c r="E1" s="3"/>
    </row>
    <row r="3" spans="2:8" ht="15" customHeight="1" x14ac:dyDescent="0.25">
      <c r="B3" s="37" t="s">
        <v>67</v>
      </c>
    </row>
    <row r="4" spans="2:8" ht="15" customHeight="1" x14ac:dyDescent="0.25">
      <c r="B4" s="39"/>
      <c r="C4" s="40"/>
      <c r="D4" s="40"/>
      <c r="E4" s="40"/>
      <c r="F4" s="40"/>
      <c r="G4" s="40"/>
      <c r="H4" s="41"/>
    </row>
    <row r="5" spans="2:8" ht="15" customHeight="1" x14ac:dyDescent="0.25">
      <c r="B5" s="42"/>
      <c r="H5" s="43"/>
    </row>
    <row r="6" spans="2:8" ht="15" customHeight="1" x14ac:dyDescent="0.25">
      <c r="B6" s="42"/>
      <c r="H6" s="43"/>
    </row>
    <row r="7" spans="2:8" ht="15" customHeight="1" x14ac:dyDescent="0.25">
      <c r="B7" s="42"/>
      <c r="H7" s="43"/>
    </row>
    <row r="8" spans="2:8" ht="15" customHeight="1" x14ac:dyDescent="0.25">
      <c r="B8" s="42"/>
      <c r="H8" s="43"/>
    </row>
    <row r="9" spans="2:8" ht="15" customHeight="1" x14ac:dyDescent="0.25">
      <c r="B9" s="42"/>
      <c r="H9" s="43"/>
    </row>
    <row r="10" spans="2:8" ht="15" customHeight="1" x14ac:dyDescent="0.25">
      <c r="B10" s="42"/>
      <c r="H10" s="43"/>
    </row>
    <row r="11" spans="2:8" ht="15" customHeight="1" x14ac:dyDescent="0.25">
      <c r="B11" s="42"/>
      <c r="H11" s="43"/>
    </row>
    <row r="12" spans="2:8" ht="15" customHeight="1" x14ac:dyDescent="0.25">
      <c r="B12" s="42"/>
      <c r="H12" s="43"/>
    </row>
    <row r="13" spans="2:8" ht="15" customHeight="1" x14ac:dyDescent="0.25">
      <c r="B13" s="42"/>
      <c r="H13" s="43"/>
    </row>
    <row r="14" spans="2:8" ht="15" customHeight="1" x14ac:dyDescent="0.25">
      <c r="B14" s="42"/>
      <c r="H14" s="43"/>
    </row>
    <row r="15" spans="2:8" ht="15" customHeight="1" x14ac:dyDescent="0.25">
      <c r="B15" s="42"/>
      <c r="H15" s="43"/>
    </row>
    <row r="16" spans="2:8" ht="15" customHeight="1" x14ac:dyDescent="0.25">
      <c r="B16" s="42"/>
      <c r="H16" s="43"/>
    </row>
    <row r="17" spans="2:8" ht="15" customHeight="1" x14ac:dyDescent="0.25">
      <c r="B17" s="42"/>
      <c r="H17" s="43"/>
    </row>
    <row r="18" spans="2:8" ht="15" customHeight="1" x14ac:dyDescent="0.25">
      <c r="B18" s="42"/>
      <c r="H18" s="43"/>
    </row>
    <row r="19" spans="2:8" ht="15" customHeight="1" x14ac:dyDescent="0.25">
      <c r="B19" s="42"/>
      <c r="H19" s="43"/>
    </row>
    <row r="20" spans="2:8" ht="15" customHeight="1" x14ac:dyDescent="0.25">
      <c r="B20" s="42"/>
      <c r="H20" s="43"/>
    </row>
    <row r="21" spans="2:8" ht="15" customHeight="1" x14ac:dyDescent="0.25">
      <c r="B21" s="42"/>
      <c r="H21" s="43"/>
    </row>
    <row r="22" spans="2:8" ht="15" customHeight="1" x14ac:dyDescent="0.25">
      <c r="B22" s="42"/>
      <c r="H22" s="43"/>
    </row>
    <row r="23" spans="2:8" ht="15" customHeight="1" x14ac:dyDescent="0.25">
      <c r="B23" s="42"/>
      <c r="H23" s="43"/>
    </row>
    <row r="24" spans="2:8" ht="15" customHeight="1" x14ac:dyDescent="0.25">
      <c r="B24" s="42"/>
      <c r="H24" s="43"/>
    </row>
    <row r="25" spans="2:8" ht="15" customHeight="1" x14ac:dyDescent="0.25">
      <c r="B25" s="42"/>
      <c r="H25" s="43"/>
    </row>
    <row r="26" spans="2:8" ht="15" customHeight="1" x14ac:dyDescent="0.25">
      <c r="B26" s="42"/>
      <c r="H26" s="43"/>
    </row>
    <row r="27" spans="2:8" ht="15" customHeight="1" x14ac:dyDescent="0.25">
      <c r="B27" s="42"/>
      <c r="H27" s="43"/>
    </row>
    <row r="28" spans="2:8" ht="15" customHeight="1" x14ac:dyDescent="0.25">
      <c r="B28" s="42"/>
      <c r="H28" s="43"/>
    </row>
    <row r="29" spans="2:8" ht="15" customHeight="1" x14ac:dyDescent="0.25">
      <c r="B29" s="44"/>
      <c r="C29" s="45"/>
      <c r="D29" s="45"/>
      <c r="E29" s="45"/>
      <c r="F29" s="45"/>
      <c r="G29" s="45"/>
      <c r="H29" s="46"/>
    </row>
    <row r="31" spans="2:8" ht="15" customHeight="1" x14ac:dyDescent="0.25">
      <c r="B31" s="37" t="s">
        <v>68</v>
      </c>
    </row>
    <row r="32" spans="2:8" ht="15" customHeight="1" x14ac:dyDescent="0.25">
      <c r="B32" s="39"/>
      <c r="C32" s="40"/>
      <c r="D32" s="40"/>
      <c r="E32" s="40"/>
      <c r="F32" s="40"/>
      <c r="G32" s="40"/>
      <c r="H32" s="41"/>
    </row>
    <row r="33" spans="2:8" ht="15" customHeight="1" x14ac:dyDescent="0.25">
      <c r="B33" s="42"/>
      <c r="H33" s="43"/>
    </row>
    <row r="34" spans="2:8" ht="15" customHeight="1" x14ac:dyDescent="0.25">
      <c r="B34" s="42"/>
      <c r="H34" s="43"/>
    </row>
    <row r="35" spans="2:8" ht="15" customHeight="1" x14ac:dyDescent="0.25">
      <c r="B35" s="42"/>
      <c r="H35" s="43"/>
    </row>
    <row r="36" spans="2:8" ht="15" customHeight="1" x14ac:dyDescent="0.25">
      <c r="B36" s="42"/>
      <c r="H36" s="43"/>
    </row>
    <row r="37" spans="2:8" ht="15" customHeight="1" x14ac:dyDescent="0.25">
      <c r="B37" s="42"/>
      <c r="H37" s="43"/>
    </row>
    <row r="38" spans="2:8" ht="15" customHeight="1" x14ac:dyDescent="0.25">
      <c r="B38" s="42"/>
      <c r="H38" s="43"/>
    </row>
    <row r="39" spans="2:8" ht="15" customHeight="1" x14ac:dyDescent="0.25">
      <c r="B39" s="42"/>
      <c r="H39" s="43"/>
    </row>
    <row r="40" spans="2:8" ht="15" customHeight="1" x14ac:dyDescent="0.25">
      <c r="B40" s="42"/>
      <c r="H40" s="43"/>
    </row>
    <row r="41" spans="2:8" ht="15" customHeight="1" x14ac:dyDescent="0.25">
      <c r="B41" s="42"/>
      <c r="H41" s="43"/>
    </row>
    <row r="42" spans="2:8" ht="15" customHeight="1" x14ac:dyDescent="0.25">
      <c r="B42" s="42"/>
      <c r="H42" s="43"/>
    </row>
    <row r="43" spans="2:8" ht="15" customHeight="1" x14ac:dyDescent="0.25">
      <c r="B43" s="42"/>
      <c r="H43" s="43"/>
    </row>
    <row r="44" spans="2:8" ht="15" customHeight="1" x14ac:dyDescent="0.25">
      <c r="B44" s="42"/>
      <c r="H44" s="43"/>
    </row>
    <row r="45" spans="2:8" ht="15" customHeight="1" x14ac:dyDescent="0.25">
      <c r="B45" s="42"/>
      <c r="H45" s="43"/>
    </row>
    <row r="46" spans="2:8" ht="15" customHeight="1" x14ac:dyDescent="0.25">
      <c r="B46" s="42"/>
      <c r="H46" s="43"/>
    </row>
    <row r="47" spans="2:8" ht="15" customHeight="1" x14ac:dyDescent="0.25">
      <c r="B47" s="42"/>
      <c r="H47" s="43"/>
    </row>
    <row r="48" spans="2:8" ht="15" customHeight="1" x14ac:dyDescent="0.25">
      <c r="B48" s="42"/>
      <c r="H48" s="43"/>
    </row>
    <row r="49" spans="2:8" ht="15" customHeight="1" x14ac:dyDescent="0.25">
      <c r="B49" s="42"/>
      <c r="H49" s="43"/>
    </row>
    <row r="50" spans="2:8" ht="15" customHeight="1" x14ac:dyDescent="0.25">
      <c r="B50" s="42"/>
      <c r="H50" s="43"/>
    </row>
    <row r="51" spans="2:8" ht="15" customHeight="1" x14ac:dyDescent="0.25">
      <c r="B51" s="42"/>
      <c r="H51" s="43"/>
    </row>
    <row r="52" spans="2:8" ht="15" customHeight="1" x14ac:dyDescent="0.25">
      <c r="B52" s="42"/>
      <c r="H52" s="43"/>
    </row>
    <row r="53" spans="2:8" ht="15" customHeight="1" x14ac:dyDescent="0.25">
      <c r="B53" s="42"/>
      <c r="H53" s="43"/>
    </row>
    <row r="54" spans="2:8" ht="15" customHeight="1" x14ac:dyDescent="0.25">
      <c r="B54" s="42"/>
      <c r="H54" s="43"/>
    </row>
    <row r="55" spans="2:8" ht="15" customHeight="1" x14ac:dyDescent="0.25">
      <c r="B55" s="42"/>
      <c r="H55" s="43"/>
    </row>
    <row r="56" spans="2:8" ht="15" customHeight="1" x14ac:dyDescent="0.25">
      <c r="B56" s="42"/>
      <c r="H56" s="43"/>
    </row>
    <row r="57" spans="2:8" ht="15" customHeight="1" x14ac:dyDescent="0.25">
      <c r="B57" s="44"/>
      <c r="C57" s="45"/>
      <c r="D57" s="45"/>
      <c r="E57" s="45"/>
      <c r="F57" s="45"/>
      <c r="G57" s="45"/>
      <c r="H57" s="46"/>
    </row>
    <row r="59" spans="2:8" ht="15" customHeight="1" x14ac:dyDescent="0.25">
      <c r="B59" s="37" t="s">
        <v>69</v>
      </c>
    </row>
    <row r="60" spans="2:8" ht="15" customHeight="1" x14ac:dyDescent="0.25">
      <c r="B60" s="39"/>
      <c r="C60" s="40"/>
      <c r="D60" s="40"/>
      <c r="E60" s="40"/>
      <c r="F60" s="40"/>
      <c r="G60" s="40"/>
      <c r="H60" s="41"/>
    </row>
    <row r="61" spans="2:8" ht="15" customHeight="1" x14ac:dyDescent="0.25">
      <c r="B61" s="42"/>
      <c r="H61" s="43"/>
    </row>
    <row r="62" spans="2:8" ht="15" customHeight="1" x14ac:dyDescent="0.25">
      <c r="B62" s="42"/>
      <c r="H62" s="43"/>
    </row>
    <row r="63" spans="2:8" ht="15" customHeight="1" x14ac:dyDescent="0.25">
      <c r="B63" s="42"/>
      <c r="H63" s="43"/>
    </row>
    <row r="64" spans="2:8" ht="15" customHeight="1" x14ac:dyDescent="0.25">
      <c r="B64" s="42"/>
      <c r="H64" s="43"/>
    </row>
    <row r="65" spans="2:8" ht="15" customHeight="1" x14ac:dyDescent="0.25">
      <c r="B65" s="42"/>
      <c r="H65" s="43"/>
    </row>
    <row r="66" spans="2:8" ht="15" customHeight="1" x14ac:dyDescent="0.25">
      <c r="B66" s="42"/>
      <c r="H66" s="43"/>
    </row>
    <row r="67" spans="2:8" ht="15" customHeight="1" x14ac:dyDescent="0.25">
      <c r="B67" s="42"/>
      <c r="H67" s="43"/>
    </row>
    <row r="68" spans="2:8" ht="15" customHeight="1" x14ac:dyDescent="0.25">
      <c r="B68" s="42"/>
      <c r="H68" s="43"/>
    </row>
    <row r="69" spans="2:8" ht="15" customHeight="1" x14ac:dyDescent="0.25">
      <c r="B69" s="42"/>
      <c r="H69" s="43"/>
    </row>
    <row r="70" spans="2:8" ht="15" customHeight="1" x14ac:dyDescent="0.25">
      <c r="B70" s="42"/>
      <c r="H70" s="43"/>
    </row>
    <row r="71" spans="2:8" ht="15" customHeight="1" x14ac:dyDescent="0.25">
      <c r="B71" s="42"/>
      <c r="H71" s="43"/>
    </row>
    <row r="72" spans="2:8" ht="15" customHeight="1" x14ac:dyDescent="0.25">
      <c r="B72" s="42"/>
      <c r="H72" s="43"/>
    </row>
    <row r="73" spans="2:8" ht="15" customHeight="1" x14ac:dyDescent="0.25">
      <c r="B73" s="42"/>
      <c r="H73" s="43"/>
    </row>
    <row r="74" spans="2:8" ht="15" customHeight="1" x14ac:dyDescent="0.25">
      <c r="B74" s="42"/>
      <c r="H74" s="43"/>
    </row>
    <row r="75" spans="2:8" ht="15" customHeight="1" x14ac:dyDescent="0.25">
      <c r="B75" s="42"/>
      <c r="H75" s="43"/>
    </row>
    <row r="76" spans="2:8" ht="15" customHeight="1" x14ac:dyDescent="0.25">
      <c r="B76" s="42"/>
      <c r="H76" s="43"/>
    </row>
    <row r="77" spans="2:8" ht="15" customHeight="1" x14ac:dyDescent="0.25">
      <c r="B77" s="42"/>
      <c r="H77" s="43"/>
    </row>
    <row r="78" spans="2:8" ht="15" customHeight="1" x14ac:dyDescent="0.25">
      <c r="B78" s="42"/>
      <c r="H78" s="43"/>
    </row>
    <row r="79" spans="2:8" ht="15" customHeight="1" x14ac:dyDescent="0.25">
      <c r="B79" s="42"/>
      <c r="H79" s="43"/>
    </row>
    <row r="80" spans="2:8" ht="15" customHeight="1" x14ac:dyDescent="0.25">
      <c r="B80" s="42"/>
      <c r="H80" s="43"/>
    </row>
    <row r="81" spans="2:8" ht="15" customHeight="1" x14ac:dyDescent="0.25">
      <c r="B81" s="42"/>
      <c r="H81" s="43"/>
    </row>
    <row r="82" spans="2:8" ht="15" customHeight="1" x14ac:dyDescent="0.25">
      <c r="B82" s="42"/>
      <c r="H82" s="43"/>
    </row>
    <row r="83" spans="2:8" ht="15" customHeight="1" x14ac:dyDescent="0.25">
      <c r="B83" s="42"/>
      <c r="H83" s="43"/>
    </row>
    <row r="84" spans="2:8" ht="15" customHeight="1" x14ac:dyDescent="0.25">
      <c r="B84" s="42"/>
      <c r="H84" s="43"/>
    </row>
    <row r="85" spans="2:8" ht="15" customHeight="1" x14ac:dyDescent="0.25">
      <c r="B85" s="44"/>
      <c r="C85" s="45"/>
      <c r="D85" s="45"/>
      <c r="E85" s="45"/>
      <c r="F85" s="45"/>
      <c r="G85" s="45"/>
      <c r="H85" s="46"/>
    </row>
    <row r="87" spans="2:8" ht="15" customHeight="1" x14ac:dyDescent="0.25">
      <c r="B87" s="37" t="s">
        <v>70</v>
      </c>
    </row>
    <row r="88" spans="2:8" ht="15" customHeight="1" x14ac:dyDescent="0.25">
      <c r="B88" s="39"/>
      <c r="C88" s="40"/>
      <c r="D88" s="40"/>
      <c r="E88" s="40"/>
      <c r="F88" s="40"/>
      <c r="G88" s="40"/>
      <c r="H88" s="41"/>
    </row>
    <row r="89" spans="2:8" ht="15" customHeight="1" x14ac:dyDescent="0.25">
      <c r="B89" s="42"/>
      <c r="H89" s="43"/>
    </row>
    <row r="90" spans="2:8" ht="15" customHeight="1" x14ac:dyDescent="0.25">
      <c r="B90" s="42"/>
      <c r="H90" s="43"/>
    </row>
    <row r="91" spans="2:8" ht="15" customHeight="1" x14ac:dyDescent="0.25">
      <c r="B91" s="42"/>
      <c r="H91" s="43"/>
    </row>
    <row r="92" spans="2:8" ht="15" customHeight="1" x14ac:dyDescent="0.25">
      <c r="B92" s="42"/>
      <c r="H92" s="43"/>
    </row>
    <row r="93" spans="2:8" ht="15" customHeight="1" x14ac:dyDescent="0.25">
      <c r="B93" s="42"/>
      <c r="H93" s="43"/>
    </row>
    <row r="94" spans="2:8" ht="15" customHeight="1" x14ac:dyDescent="0.25">
      <c r="B94" s="42"/>
      <c r="H94" s="43"/>
    </row>
    <row r="95" spans="2:8" ht="15" customHeight="1" x14ac:dyDescent="0.25">
      <c r="B95" s="42"/>
      <c r="H95" s="43"/>
    </row>
    <row r="96" spans="2:8" ht="15" customHeight="1" x14ac:dyDescent="0.25">
      <c r="B96" s="42"/>
      <c r="H96" s="43"/>
    </row>
    <row r="97" spans="2:8" ht="15" customHeight="1" x14ac:dyDescent="0.25">
      <c r="B97" s="42"/>
      <c r="H97" s="43"/>
    </row>
    <row r="98" spans="2:8" ht="15" customHeight="1" x14ac:dyDescent="0.25">
      <c r="B98" s="42"/>
      <c r="H98" s="43"/>
    </row>
    <row r="99" spans="2:8" ht="15" customHeight="1" x14ac:dyDescent="0.25">
      <c r="B99" s="42"/>
      <c r="H99" s="43"/>
    </row>
    <row r="100" spans="2:8" ht="15" customHeight="1" x14ac:dyDescent="0.25">
      <c r="B100" s="42"/>
      <c r="H100" s="43"/>
    </row>
    <row r="101" spans="2:8" ht="15" customHeight="1" x14ac:dyDescent="0.25">
      <c r="B101" s="42"/>
      <c r="H101" s="43"/>
    </row>
    <row r="102" spans="2:8" ht="15" customHeight="1" x14ac:dyDescent="0.25">
      <c r="B102" s="42"/>
      <c r="H102" s="43"/>
    </row>
    <row r="103" spans="2:8" ht="15" customHeight="1" x14ac:dyDescent="0.25">
      <c r="B103" s="42"/>
      <c r="H103" s="43"/>
    </row>
    <row r="104" spans="2:8" ht="15" customHeight="1" x14ac:dyDescent="0.25">
      <c r="B104" s="42"/>
      <c r="H104" s="43"/>
    </row>
    <row r="105" spans="2:8" ht="15" customHeight="1" x14ac:dyDescent="0.25">
      <c r="B105" s="42"/>
      <c r="H105" s="43"/>
    </row>
    <row r="106" spans="2:8" ht="15" customHeight="1" x14ac:dyDescent="0.25">
      <c r="B106" s="42"/>
      <c r="H106" s="43"/>
    </row>
    <row r="107" spans="2:8" ht="15" customHeight="1" x14ac:dyDescent="0.25">
      <c r="B107" s="42"/>
      <c r="H107" s="43"/>
    </row>
    <row r="108" spans="2:8" ht="15" customHeight="1" x14ac:dyDescent="0.25">
      <c r="B108" s="42"/>
      <c r="H108" s="43"/>
    </row>
    <row r="109" spans="2:8" ht="15" customHeight="1" x14ac:dyDescent="0.25">
      <c r="B109" s="42"/>
      <c r="H109" s="43"/>
    </row>
    <row r="110" spans="2:8" ht="15" customHeight="1" x14ac:dyDescent="0.25">
      <c r="B110" s="42"/>
      <c r="H110" s="43"/>
    </row>
    <row r="111" spans="2:8" ht="15" customHeight="1" x14ac:dyDescent="0.25">
      <c r="B111" s="42"/>
      <c r="H111" s="43"/>
    </row>
    <row r="112" spans="2:8" ht="15" customHeight="1" x14ac:dyDescent="0.25">
      <c r="B112" s="42"/>
      <c r="H112" s="43"/>
    </row>
    <row r="113" spans="2:8" ht="15" customHeight="1" x14ac:dyDescent="0.25">
      <c r="B113" s="44"/>
      <c r="C113" s="45"/>
      <c r="D113" s="45"/>
      <c r="E113" s="45"/>
      <c r="F113" s="45"/>
      <c r="G113" s="45"/>
      <c r="H113" s="46"/>
    </row>
    <row r="115" spans="2:8" ht="15" customHeight="1" x14ac:dyDescent="0.25">
      <c r="B115" s="37" t="s">
        <v>71</v>
      </c>
    </row>
    <row r="116" spans="2:8" ht="15" customHeight="1" x14ac:dyDescent="0.25">
      <c r="B116" s="39"/>
      <c r="C116" s="40"/>
      <c r="D116" s="40"/>
      <c r="E116" s="40"/>
      <c r="F116" s="40"/>
      <c r="G116" s="40"/>
      <c r="H116" s="41"/>
    </row>
    <row r="117" spans="2:8" ht="15" customHeight="1" x14ac:dyDescent="0.25">
      <c r="B117" s="42"/>
      <c r="H117" s="43"/>
    </row>
    <row r="118" spans="2:8" ht="15" customHeight="1" x14ac:dyDescent="0.25">
      <c r="B118" s="42"/>
      <c r="H118" s="43"/>
    </row>
    <row r="119" spans="2:8" ht="15" customHeight="1" x14ac:dyDescent="0.25">
      <c r="B119" s="42"/>
      <c r="H119" s="43"/>
    </row>
    <row r="120" spans="2:8" ht="15" customHeight="1" x14ac:dyDescent="0.25">
      <c r="B120" s="42"/>
      <c r="H120" s="43"/>
    </row>
    <row r="121" spans="2:8" ht="15" customHeight="1" x14ac:dyDescent="0.25">
      <c r="B121" s="42"/>
      <c r="H121" s="43"/>
    </row>
    <row r="122" spans="2:8" ht="15" customHeight="1" x14ac:dyDescent="0.25">
      <c r="B122" s="42"/>
      <c r="H122" s="43"/>
    </row>
    <row r="123" spans="2:8" ht="15" customHeight="1" x14ac:dyDescent="0.25">
      <c r="B123" s="42"/>
      <c r="H123" s="43"/>
    </row>
    <row r="124" spans="2:8" ht="15" customHeight="1" x14ac:dyDescent="0.25">
      <c r="B124" s="42"/>
      <c r="H124" s="43"/>
    </row>
    <row r="125" spans="2:8" ht="15" customHeight="1" x14ac:dyDescent="0.25">
      <c r="B125" s="42"/>
      <c r="H125" s="43"/>
    </row>
    <row r="126" spans="2:8" ht="15" customHeight="1" x14ac:dyDescent="0.25">
      <c r="B126" s="42"/>
      <c r="H126" s="43"/>
    </row>
    <row r="127" spans="2:8" ht="15" customHeight="1" x14ac:dyDescent="0.25">
      <c r="B127" s="42"/>
      <c r="H127" s="43"/>
    </row>
    <row r="128" spans="2:8" ht="15" customHeight="1" x14ac:dyDescent="0.25">
      <c r="B128" s="42"/>
      <c r="H128" s="43"/>
    </row>
    <row r="129" spans="2:8" ht="15" customHeight="1" x14ac:dyDescent="0.25">
      <c r="B129" s="42"/>
      <c r="H129" s="43"/>
    </row>
    <row r="130" spans="2:8" ht="15" customHeight="1" x14ac:dyDescent="0.25">
      <c r="B130" s="42"/>
      <c r="H130" s="43"/>
    </row>
    <row r="131" spans="2:8" ht="15" customHeight="1" x14ac:dyDescent="0.25">
      <c r="B131" s="42"/>
      <c r="H131" s="43"/>
    </row>
    <row r="132" spans="2:8" ht="15" customHeight="1" x14ac:dyDescent="0.25">
      <c r="B132" s="42"/>
      <c r="H132" s="43"/>
    </row>
    <row r="133" spans="2:8" ht="15" customHeight="1" x14ac:dyDescent="0.25">
      <c r="B133" s="42"/>
      <c r="H133" s="43"/>
    </row>
    <row r="134" spans="2:8" ht="15" customHeight="1" x14ac:dyDescent="0.25">
      <c r="B134" s="42"/>
      <c r="H134" s="43"/>
    </row>
    <row r="135" spans="2:8" ht="15" customHeight="1" x14ac:dyDescent="0.25">
      <c r="B135" s="42"/>
      <c r="H135" s="43"/>
    </row>
    <row r="136" spans="2:8" ht="15" customHeight="1" x14ac:dyDescent="0.25">
      <c r="B136" s="42"/>
      <c r="H136" s="43"/>
    </row>
    <row r="137" spans="2:8" ht="15" customHeight="1" x14ac:dyDescent="0.25">
      <c r="B137" s="42"/>
      <c r="H137" s="43"/>
    </row>
    <row r="138" spans="2:8" ht="15" customHeight="1" x14ac:dyDescent="0.25">
      <c r="B138" s="42"/>
      <c r="H138" s="43"/>
    </row>
    <row r="139" spans="2:8" ht="15" customHeight="1" x14ac:dyDescent="0.25">
      <c r="B139" s="42"/>
      <c r="H139" s="43"/>
    </row>
    <row r="140" spans="2:8" ht="15" customHeight="1" x14ac:dyDescent="0.25">
      <c r="B140" s="42"/>
      <c r="H140" s="43"/>
    </row>
    <row r="141" spans="2:8" ht="15" customHeight="1" x14ac:dyDescent="0.25">
      <c r="B141" s="44"/>
      <c r="C141" s="45"/>
      <c r="D141" s="45"/>
      <c r="E141" s="45"/>
      <c r="F141" s="45"/>
      <c r="G141" s="45"/>
      <c r="H141" s="46"/>
    </row>
  </sheetData>
  <pageMargins left="0.7" right="0.7" top="0.75" bottom="0.75" header="0.3" footer="0.3"/>
  <pageSetup paperSize="9" scale="18" orientation="portrait" horizontalDpi="4294967293"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Forecast Assumptions</vt:lpstr>
      <vt:lpstr>P&amp;L Forecast</vt:lpstr>
      <vt:lpstr>Cash Flow Forecast</vt:lpstr>
      <vt:lpstr>Outputs</vt:lpstr>
      <vt:lpstr>'Cash Flow Forecast'!Print_Area</vt:lpstr>
      <vt:lpstr>'Forecast Assumptions'!Print_Area</vt:lpstr>
      <vt:lpstr>Outputs!Print_Area</vt:lpstr>
      <vt:lpstr>'P&amp;L Forecast'!Print_Area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Palrecha</dc:creator>
  <cp:lastModifiedBy>Varun Palrecha</cp:lastModifiedBy>
  <dcterms:created xsi:type="dcterms:W3CDTF">2024-11-15T05:53:29Z</dcterms:created>
  <dcterms:modified xsi:type="dcterms:W3CDTF">2024-11-15T05:56:55Z</dcterms:modified>
</cp:coreProperties>
</file>